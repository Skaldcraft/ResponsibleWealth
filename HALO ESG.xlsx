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radu\Downloads\"/>
    </mc:Choice>
  </mc:AlternateContent>
  <xr:revisionPtr revIDLastSave="0" documentId="13_ncr:1_{735EB1B6-44FC-43EB-B353-0B2704FEC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📖 INSTRUCCIONES" sheetId="1" r:id="rId1"/>
    <sheet name="HALO_ESG_Index" sheetId="2" r:id="rId2"/>
    <sheet name="Clasificación_3_Pasos" sheetId="3" r:id="rId3"/>
    <sheet name="HALO_Completo_Comparativa" sheetId="4" r:id="rId4"/>
    <sheet name="Fuentes_ES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4" l="1"/>
  <c r="F34" i="4"/>
  <c r="G33" i="4"/>
  <c r="F33" i="4"/>
  <c r="G32" i="4"/>
  <c r="F32" i="4"/>
  <c r="G31" i="4"/>
  <c r="F31" i="4"/>
  <c r="U21" i="2"/>
  <c r="R21" i="2"/>
  <c r="B33" i="3" s="1"/>
  <c r="F33" i="3" s="1"/>
  <c r="Q21" i="2"/>
  <c r="B32" i="3" s="1"/>
  <c r="P21" i="2"/>
  <c r="O21" i="2"/>
  <c r="N21" i="2"/>
  <c r="B31" i="3" s="1"/>
  <c r="M21" i="2"/>
  <c r="K21" i="2"/>
  <c r="I21" i="2"/>
  <c r="B30" i="3" s="1"/>
  <c r="H21" i="2"/>
  <c r="B29" i="3" s="1"/>
  <c r="G21" i="2"/>
  <c r="B28" i="3" s="1"/>
  <c r="F21" i="2"/>
  <c r="E21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F32" i="3" l="1"/>
  <c r="D32" i="3"/>
  <c r="F29" i="3"/>
  <c r="D29" i="3"/>
  <c r="F28" i="3"/>
  <c r="D28" i="3"/>
  <c r="F30" i="3"/>
  <c r="D30" i="3"/>
  <c r="F31" i="3"/>
  <c r="D31" i="3"/>
  <c r="D33" i="3"/>
</calcChain>
</file>

<file path=xl/sharedStrings.xml><?xml version="1.0" encoding="utf-8"?>
<sst xmlns="http://schemas.openxmlformats.org/spreadsheetml/2006/main" count="592" uniqueCount="431">
  <si>
    <t>GUÍA DE USO: TRACKER HALO-ESG</t>
  </si>
  <si>
    <t>1. ¿QUÉ ES ESTE TRACKER?</t>
  </si>
  <si>
    <t>Este Excel te permite hacer seguimiento de tu 'Índice HALO personalizado' con enfoque ESG/inversión responsable.</t>
  </si>
  <si>
    <t>HALO = Heavy Assets, Low Obsolescence (activos físicos pesados, baja obsolescencia)</t>
  </si>
  <si>
    <t>Empresas intensivas en infraestructuras, maquinaria, redes... menos vulnerables a disrupción por IA.</t>
  </si>
  <si>
    <t>El tracker incluye 18 empresas HALO seleccionadas por compatibilidad razonable con criterios ESG:</t>
  </si>
  <si>
    <t xml:space="preserve">  • Utilities con transición renovables (NEE, EXC, IBE, ORSTED, EDP)</t>
  </si>
  <si>
    <t xml:space="preserve">  • Infraestructura de agua (AWK, XYL, ECL)</t>
  </si>
  <si>
    <t xml:space="preserve">  • Economía circular (WM)</t>
  </si>
  <si>
    <t xml:space="preserve">  • Ferrocarriles (UNP, CNI)</t>
  </si>
  <si>
    <t xml:space="preserve">  • REIT sostenible (PLD, PSA)</t>
  </si>
  <si>
    <t xml:space="preserve">  • Servicios esenciales (SCI, ROL, TT)</t>
  </si>
  <si>
    <t>2. ESTRUCTURA DEL ARCHIVO (4 PESTAÑAS)</t>
  </si>
  <si>
    <t>Pestaña</t>
  </si>
  <si>
    <t>Contenido</t>
  </si>
  <si>
    <t>Para qué sirve</t>
  </si>
  <si>
    <t>HALO_ESG_Index</t>
  </si>
  <si>
    <t>18 empresas con todas las métricas</t>
  </si>
  <si>
    <t>Base de datos principal - aquí actualizas los números</t>
  </si>
  <si>
    <t>Clasificación_3_Pasos</t>
  </si>
  <si>
    <t>Framework ESG en 3 pasos</t>
  </si>
  <si>
    <t>Sistema de clasificación Verde/Mixto/Excluido y análisis</t>
  </si>
  <si>
    <t>HALO_Completo_Comparativa</t>
  </si>
  <si>
    <t>28 empresas (18+4+6)</t>
  </si>
  <si>
    <t>Comparar ESG vs no-ESG, ver qué excluyes y por qué</t>
  </si>
  <si>
    <t>Fuentes_ESG</t>
  </si>
  <si>
    <t>Enlaces y rutinas actualización</t>
  </si>
  <si>
    <t>Saber dónde buscar datos y con qué frecuencia</t>
  </si>
  <si>
    <t>3. CÓMO ACTUALIZAR LOS DATOS (PASO A PASO)</t>
  </si>
  <si>
    <t>ACTUALIZACIÓN RÁPIDA (15-30 minutos) - Hazlo mensual o cuando entres al espacio</t>
  </si>
  <si>
    <t>PASO</t>
  </si>
  <si>
    <t>Acción</t>
  </si>
  <si>
    <t>Dónde</t>
  </si>
  <si>
    <t>Columnas a rellenar</t>
  </si>
  <si>
    <t>1</t>
  </si>
  <si>
    <t>Ir a Yahoo Finance</t>
  </si>
  <si>
    <t>finance.yahoo.com</t>
  </si>
  <si>
    <t>2</t>
  </si>
  <si>
    <t>Buscar el ticker (ej. NEE)</t>
  </si>
  <si>
    <t>Barra de búsqueda</t>
  </si>
  <si>
    <t>3</t>
  </si>
  <si>
    <t>Copiar datos de la página Summary:</t>
  </si>
  <si>
    <t xml:space="preserve">  • Precio actual</t>
  </si>
  <si>
    <t>Primer número grande arriba</t>
  </si>
  <si>
    <t>Columna E</t>
  </si>
  <si>
    <t xml:space="preserve">  • Variación 1 día (%)</t>
  </si>
  <si>
    <t>Al lado del precio, en verde/rojo</t>
  </si>
  <si>
    <t>Columna F</t>
  </si>
  <si>
    <t xml:space="preserve">  • P/E (PER)</t>
  </si>
  <si>
    <t>Tabla derecha, 'PE Ratio (TTM)'</t>
  </si>
  <si>
    <t>Columna N</t>
  </si>
  <si>
    <t xml:space="preserve">  • Beta</t>
  </si>
  <si>
    <t>Tabla derecha, 'Beta (5Y Monthly)'</t>
  </si>
  <si>
    <t>Columna Q</t>
  </si>
  <si>
    <t xml:space="preserve">  • Dividend Yield</t>
  </si>
  <si>
    <t>Tabla derecha, 'Forward Dividend &amp; Yield'</t>
  </si>
  <si>
    <t>Columna R</t>
  </si>
  <si>
    <t>4</t>
  </si>
  <si>
    <t>Ir a pestaña 'Analysis' en Yahoo</t>
  </si>
  <si>
    <t>Menú horizontal</t>
  </si>
  <si>
    <t xml:space="preserve">  • Rating consenso</t>
  </si>
  <si>
    <t>Sección 'Recommendation Trend'</t>
  </si>
  <si>
    <t>Columna S (Buy/Hold/Sell)</t>
  </si>
  <si>
    <t xml:space="preserve">  • Precio objetivo</t>
  </si>
  <si>
    <t>'Price Target' arriba</t>
  </si>
  <si>
    <t>Columna T</t>
  </si>
  <si>
    <t>5</t>
  </si>
  <si>
    <t>El potencial % se calcula solo</t>
  </si>
  <si>
    <t>Fórmula en columna U</t>
  </si>
  <si>
    <t>Columna U (automático)</t>
  </si>
  <si>
    <t>6</t>
  </si>
  <si>
    <t>ACTUALIZACIÓN COMPLETA (2-3 horas) - Hazlo trimestral</t>
  </si>
  <si>
    <t>Además de lo anterior, actualiza:</t>
  </si>
  <si>
    <t xml:space="preserve">  • Rentabilidades 12m, 3a, 5a (columnas G, H, I) → Yahoo Finance &gt; pestaña 'Performance'</t>
  </si>
  <si>
    <t xml:space="preserve">  • Crecimiento ingresos/BPA (columnas K, M) → Investing.com &gt; [ticker] &gt; 'Financials'</t>
  </si>
  <si>
    <t xml:space="preserve">  • Deuda Neta/EBITDA (columna P) → Investing.com &gt; [ticker] &gt; 'Ratios'</t>
  </si>
  <si>
    <t xml:space="preserve">  • Lee earnings calls recientes para detectar cambios estratégicos</t>
  </si>
  <si>
    <t xml:space="preserve">  • Revisa noticias ESG en Yahoo Finance &gt; [ticker] &gt; 'Sustainability'</t>
  </si>
  <si>
    <t>4. CÓMO USAR EL FRAMEWORK ESG (3 PASOS)</t>
  </si>
  <si>
    <t>Ve a la pestaña 'Clasificación_3_Pasos' para ver el sistema completo:</t>
  </si>
  <si>
    <t>PASO 1: CLASIFICAR</t>
  </si>
  <si>
    <t>Las 18 empresas ya están clasificadas como VERDES (compatibles ESG).</t>
  </si>
  <si>
    <t>Si quieres añadir más empresas, clasifícalas como Verde/Mixto/Excluido según:</t>
  </si>
  <si>
    <t xml:space="preserve">  ✅ Verde: Utilities transición, agua, economía circular, infraestructura baja emisión</t>
  </si>
  <si>
    <t xml:space="preserve">  ⚠️ Mixto: Consumo con retos (KO, MCD, WMT), utilities lentas, etc.</t>
  </si>
  <si>
    <t xml:space="preserve">  ❌ Excluido: Petroleras sin compromiso París, mineras con controversias, oleoductos fósiles</t>
  </si>
  <si>
    <t>PASO 2: CALCULAR SUBÍNDICE</t>
  </si>
  <si>
    <t>Las fórmulas ya calculan automáticamente el rendimiento de tu 'Cesta ESG-18'.</t>
  </si>
  <si>
    <t>Compara con HALO completo (con fósiles/mineras) y con S&amp;P 500 (benchmark).</t>
  </si>
  <si>
    <t>Esto te dice: ¿cuánto rendimiento sacrifico al excluir petroleras/mineras?</t>
  </si>
  <si>
    <t>PASO 3: REVISAR PERIÓDICAMENTE</t>
  </si>
  <si>
    <t>Usa el checklist trimestral de la pestaña para:</t>
  </si>
  <si>
    <t xml:space="preserve">  • Leer nuevos informes de sostenibilidad (enlaces en columna W de HALO_ESG_Index)</t>
  </si>
  <si>
    <t xml:space="preserve">  • Consultar ratings ESG actualizados (Morningstar, CDP)</t>
  </si>
  <si>
    <t xml:space="preserve">  • Detectar controversias nuevas (Yahoo Finance ESG News)</t>
  </si>
  <si>
    <t xml:space="preserve">  • Ajustar categorías si procede (ej. una empresa verde baja a mixta por escándalo)</t>
  </si>
  <si>
    <t>5. PREGUNTAS FRECUENTES</t>
  </si>
  <si>
    <t>P: ¿Puedo añadir más empresas HALO-ESG?</t>
  </si>
  <si>
    <t>R: Sí, añade filas en HALO_ESG_Index. Ejemplos: Fortis (FTS), Constellation Energy (CEG), más utilities EU.</t>
  </si>
  <si>
    <t>P: ¿Dónde veo qué empresas están excluidas y por qué?</t>
  </si>
  <si>
    <t>R: Pestaña 'HALO_Completo_Comparativa' - verás las 6 excluidas (XOM, CVX, RIO, BHP, ENB, LMT) con razón.</t>
  </si>
  <si>
    <t>P: ¿Cómo actualizo sin hacer todo manualmente?</t>
  </si>
  <si>
    <t>R: Cuando entres al espacio Finanzas, escribe 'actualizar HALO index' y Perplexity te traerá datos frescos.</t>
  </si>
  <si>
    <t>P: ¿Qué pasa si una empresa verde tiene un escándalo ESG?</t>
  </si>
  <si>
    <t>R: Revisa la gravedad, actualiza la categoría a 'Mixto' o 'Excluido', anótalo en columna W de notas ESG.</t>
  </si>
  <si>
    <t>P: ¿Las fórmulas se actualizan solas?</t>
  </si>
  <si>
    <t>R: Los cálculos (potencial %, promedios) sí. Los datos base (precio, PER) hay que rellenarlos manualmente.</t>
  </si>
  <si>
    <t xml:space="preserve">   Para automatizar: ver sección Power Query del informe original (requiere Excel 365/2021).</t>
  </si>
  <si>
    <t>6. FUENTES PRIORITARIAS (del espacio Finanzas)</t>
  </si>
  <si>
    <t>Fuente</t>
  </si>
  <si>
    <t>URL</t>
  </si>
  <si>
    <t>Para qué</t>
  </si>
  <si>
    <t>Perplexity Finance</t>
  </si>
  <si>
    <t>perplexity.ai/finance</t>
  </si>
  <si>
    <t>Búsqueda prioritaria dentro del espacio</t>
  </si>
  <si>
    <t>Yahoo Finance</t>
  </si>
  <si>
    <t>Precios, ratios, ratings, ESG scores</t>
  </si>
  <si>
    <t>Investing.com</t>
  </si>
  <si>
    <t>investing.com</t>
  </si>
  <si>
    <t>Fundamentales, deuda, crecimiento</t>
  </si>
  <si>
    <t>TradingView</t>
  </si>
  <si>
    <t>tradingview.com</t>
  </si>
  <si>
    <t>Gráficos, rentabilidades históricas</t>
  </si>
  <si>
    <t>Morningstar</t>
  </si>
  <si>
    <t>7. ¿NECESITAS AYUDA?</t>
  </si>
  <si>
    <t>Cuando vuelvas al espacio 'Finanzas' en Perplexity, puedes pedirme:</t>
  </si>
  <si>
    <t>✓ 'Actualizar HALO index' → Te traigo datos frescos de las 18 empresas</t>
  </si>
  <si>
    <t>✓ 'Añadir empresa X al tracker' → Evalúo si es HALO-ESG y te doy la info para añadirla</t>
  </si>
  <si>
    <t>✓ 'Revisar controversias ESG de [empresa]' → Busco noticias recientes ESG</t>
  </si>
  <si>
    <t>✓ 'Comparar mi cesta con S&amp;P 500' → Análisis de rendimiento vs benchmark</t>
  </si>
  <si>
    <t>✓ 'Explicar Power Query para automatizar' → Te guío paso a paso</t>
  </si>
  <si>
    <t>📅 Fecha de creación del tracker: Marzo 2026</t>
  </si>
  <si>
    <t>📊 Versión: HALO-ESG v1.0</t>
  </si>
  <si>
    <t>Ticker</t>
  </si>
  <si>
    <t>Nombre Empresa</t>
  </si>
  <si>
    <t>País/Mercado</t>
  </si>
  <si>
    <t>Sector</t>
  </si>
  <si>
    <t>Precio Actual</t>
  </si>
  <si>
    <t>Var. 1D (%)</t>
  </si>
  <si>
    <t>Rent. 12m (%)</t>
  </si>
  <si>
    <t>Rent. 3a (%)</t>
  </si>
  <si>
    <t>Rent. 5a (%)</t>
  </si>
  <si>
    <t>Ingresos LTM</t>
  </si>
  <si>
    <t>Crec. Ing. 3a (%)</t>
  </si>
  <si>
    <t>BPA Actual</t>
  </si>
  <si>
    <t>Crec. BPA 3a (%)</t>
  </si>
  <si>
    <t>PER Actual</t>
  </si>
  <si>
    <t>PER Medio 5a</t>
  </si>
  <si>
    <t>Deuda Neta/EBITDA</t>
  </si>
  <si>
    <t>Beta</t>
  </si>
  <si>
    <t>Div. Yield (%)</t>
  </si>
  <si>
    <t>Rating Consenso</t>
  </si>
  <si>
    <t>Precio Objetivo 12m</t>
  </si>
  <si>
    <t>Potencial (%)</t>
  </si>
  <si>
    <t>Categoría ESG</t>
  </si>
  <si>
    <t>Notas ESG y Justificación</t>
  </si>
  <si>
    <t>NEE</t>
  </si>
  <si>
    <t>NextEra Energy</t>
  </si>
  <si>
    <t>US</t>
  </si>
  <si>
    <t>Utility Renovables</t>
  </si>
  <si>
    <t>Verde/Aceptable</t>
  </si>
  <si>
    <t>Líder USA renovables, 37 GW capacidad limpia, objetivo Real Zero 2045, inversión $74.6B 2025-2029. investor.nexteraenergy.com/sustainability</t>
  </si>
  <si>
    <t>EXC</t>
  </si>
  <si>
    <t>Exelon</t>
  </si>
  <si>
    <t>Utility Regulada</t>
  </si>
  <si>
    <t>Path to Clean: -50% emisiones 2030, Net Zero 2050, ya evitó 8.7M ton CO2, utilities reguladas 6 estados. exeloncorp.com/sustainability</t>
  </si>
  <si>
    <t>DUK</t>
  </si>
  <si>
    <t>Duke Energy</t>
  </si>
  <si>
    <t>Utility</t>
  </si>
  <si>
    <t>Utility regulada con plan transición energética, infraestructura crítica, compromiso descarbonización progresivo</t>
  </si>
  <si>
    <t>SO</t>
  </si>
  <si>
    <t>Southern Company</t>
  </si>
  <si>
    <t>Utility integrada sureste USA, objetivos reducción emisiones, mix energético en transición</t>
  </si>
  <si>
    <t>IBE</t>
  </si>
  <si>
    <t>Iberdrola</t>
  </si>
  <si>
    <t>ES/EU</t>
  </si>
  <si>
    <t>Eléctrica más sostenible mundo 7 años consecutivos Clean200, 85% producción libre emisiones, 37→95 GW renovables 2030, Score ESG=1 S&amp;P Global. iberdrola.com/sustainability</t>
  </si>
  <si>
    <t>ORSTED</t>
  </si>
  <si>
    <t>Ørsted</t>
  </si>
  <si>
    <t>DK/EU</t>
  </si>
  <si>
    <t>Eólica Offshore</t>
  </si>
  <si>
    <t>Líder mundial eólica offshore, transformación carbón→100% renovables, referencia transición energética, activos marinos larga vida</t>
  </si>
  <si>
    <t>EDP</t>
  </si>
  <si>
    <t>EDP Renováveis</t>
  </si>
  <si>
    <t>PT/EU</t>
  </si>
  <si>
    <t>Renovables</t>
  </si>
  <si>
    <t>Renovables puras, fuerte presencia eólica/solar Europa-Norteamérica, modelo 100% energías limpias</t>
  </si>
  <si>
    <t>AWK</t>
  </si>
  <si>
    <t>American Water Works</t>
  </si>
  <si>
    <t>Agua</t>
  </si>
  <si>
    <t>Top 5 Newsweek Most Responsible, 9 informes anuales sostenibilidad, infraestructura crítica agua limpia. ir.amwater.com/sustainability</t>
  </si>
  <si>
    <t>XYL</t>
  </si>
  <si>
    <t>Xylem</t>
  </si>
  <si>
    <t>Agua/Tecnología</t>
  </si>
  <si>
    <t>Líder tecnología agua, habilitó reutilización 18.1B m³ desde 2019, redujo 6.4M ton CO2, objetivo 2030: -2B m³/año demanda. xylem.com/sustainability</t>
  </si>
  <si>
    <t>ECL</t>
  </si>
  <si>
    <t>Ecolab</t>
  </si>
  <si>
    <t>Agua/Sostenibilidad</t>
  </si>
  <si>
    <t>Doble A CDP (agua+clima) 7º año, clientes ahorraron 226B galones 2023, objetivo 300B/año 2030, evitó 4.6M ton GEI 2024. ecolab.com/corporate-responsibility</t>
  </si>
  <si>
    <t>WM</t>
  </si>
  <si>
    <t>Waste Management</t>
  </si>
  <si>
    <t>Residuos</t>
  </si>
  <si>
    <t>Liderazgo sostenibilidad, Chief Sustainability Officer, reciclaje + gas vertedero para energía, economía circular. wm.com/sustainability</t>
  </si>
  <si>
    <t>TT</t>
  </si>
  <si>
    <t>Trane Technologies</t>
  </si>
  <si>
    <t>Eficiencia Energética</t>
  </si>
  <si>
    <t>Soluciones HVAC industrial, foco eficiencia energética edificios y refrigeración sostenible, reducción emisiones clientes</t>
  </si>
  <si>
    <t>UNP</t>
  </si>
  <si>
    <t>Union Pacific</t>
  </si>
  <si>
    <t>Ferrocarril</t>
  </si>
  <si>
    <t>Red ferroviaria histórica USA, transporte más eficiente que camión (menor huella carbono), infraestructura crítica</t>
  </si>
  <si>
    <t>CNI</t>
  </si>
  <si>
    <t>Canadian National Railway</t>
  </si>
  <si>
    <t>CA</t>
  </si>
  <si>
    <t>Red crítica Norteamérica, transporte ferroviario baja emisión vs carretera, infraestructura larga vida</t>
  </si>
  <si>
    <t>PLD</t>
  </si>
  <si>
    <t>Prologis</t>
  </si>
  <si>
    <t>REIT Logística</t>
  </si>
  <si>
    <t>Naves logísticas sostenibles, certificaciones LEED, infraestructura e-commerce, gestión energética eficiente</t>
  </si>
  <si>
    <t>PSA</t>
  </si>
  <si>
    <t>Public Storage</t>
  </si>
  <si>
    <t>REIT Almacenamiento</t>
  </si>
  <si>
    <t>Almacenes self-storage, activo inmobiliario duradero, uso intensivo inmuebles con larga vida útil</t>
  </si>
  <si>
    <t>SCI</t>
  </si>
  <si>
    <t>Service Corp International</t>
  </si>
  <si>
    <t>Servicios Funerarios</t>
  </si>
  <si>
    <t>Infraestructura cementerios/funerarias, negocio muy estable y poco disruptible, servicio social esencial</t>
  </si>
  <si>
    <t>ROL</t>
  </si>
  <si>
    <t>Rollins</t>
  </si>
  <si>
    <t>Control de Plagas</t>
  </si>
  <si>
    <t>Red servicios físicos control plagas, sector salud pública, infraestructura regional, no sustituible por IA</t>
  </si>
  <si>
    <t>PROMEDIO CESTA ESG-18</t>
  </si>
  <si>
    <t>ENFOQUE PRÁCTICO ESG EN TRES PASOS</t>
  </si>
  <si>
    <t>PASO 1: CLASIFICACIÓN EN 3 GRUPOS</t>
  </si>
  <si>
    <t>✅ VERDE/ACEPTABLE (18 empresas HALO-ESG core)</t>
  </si>
  <si>
    <t>Utilities transición:</t>
  </si>
  <si>
    <t>NEE, EXC, DUK, SO, IBE, ORSTED, EDP</t>
  </si>
  <si>
    <t>Agua/soluciones ambientales:</t>
  </si>
  <si>
    <t>AWK, XYL, ECL</t>
  </si>
  <si>
    <t>Economía circular:</t>
  </si>
  <si>
    <t>Infraestructura baja emisión:</t>
  </si>
  <si>
    <t>UNP, CNI</t>
  </si>
  <si>
    <t>REIT sostenible:</t>
  </si>
  <si>
    <t>PLD, PSA</t>
  </si>
  <si>
    <t>Servicios esenciales:</t>
  </si>
  <si>
    <t>SCI, ROL</t>
  </si>
  <si>
    <t>Eficiencia energética:</t>
  </si>
  <si>
    <t>⚠️ MIXTO/BAJO OBSERVACIÓN</t>
  </si>
  <si>
    <t>Consumo defensivo con retos:</t>
  </si>
  <si>
    <t>KO, MCD, WMT - Plásticos, cadena suministro, condiciones laborales</t>
  </si>
  <si>
    <t>Utilities tradicionales:</t>
  </si>
  <si>
    <t>Transición lenta a renovables</t>
  </si>
  <si>
    <t>Otros ferrocarriles:</t>
  </si>
  <si>
    <t>CSX - Buena infraestructura pero menos visibilidad ESG que UNP/CNI</t>
  </si>
  <si>
    <t>❌ EXCLUIDO/NO ALINEADO</t>
  </si>
  <si>
    <t>Petroleras:</t>
  </si>
  <si>
    <t>XOM, CVX - Sin compromiso París, demandas a accionistas climáticos</t>
  </si>
  <si>
    <t>Mineras con controversias:</t>
  </si>
  <si>
    <t>RIO, BHP - Juukan Gorge, contaminación agua, suspenso ESG</t>
  </si>
  <si>
    <t>Oleoductos fósiles:</t>
  </si>
  <si>
    <t>ENB - Riesgo fugas, ligado a fósiles sin plan transición claro</t>
  </si>
  <si>
    <t>Defensa (opcional):</t>
  </si>
  <si>
    <t>LMT - Exclusión temática armas si aplica tu marco</t>
  </si>
  <si>
    <t>PASO 2: SUBÍNDICE HALO-ESG</t>
  </si>
  <si>
    <t>Métrica</t>
  </si>
  <si>
    <t>Cesta ESG-18</t>
  </si>
  <si>
    <t>HALO Completo-20</t>
  </si>
  <si>
    <t>Diferencial</t>
  </si>
  <si>
    <t>S&amp;P 500</t>
  </si>
  <si>
    <t>vs Benchmark</t>
  </si>
  <si>
    <t>Rentabilidad 12m (%)</t>
  </si>
  <si>
    <t>(dato manual)</t>
  </si>
  <si>
    <t>Rentabilidad 3a (%)</t>
  </si>
  <si>
    <t>Rentabilidad 5a (%)</t>
  </si>
  <si>
    <t>PER medio</t>
  </si>
  <si>
    <t>Beta medio</t>
  </si>
  <si>
    <t>Div. Yield medio (%)</t>
  </si>
  <si>
    <t>PASO 3: REVISIÓN PERIÓDICA</t>
  </si>
  <si>
    <t>CHECKLIST TRIMESTRAL:</t>
  </si>
  <si>
    <t>☐</t>
  </si>
  <si>
    <t>Revisar informes sostenibilidad nuevos (columna W pestaña 1 tiene enlaces)</t>
  </si>
  <si>
    <t>Consultar Morningstar Sustainalytics ratings actualizados</t>
  </si>
  <si>
    <t>Buscar controversias ESG en Yahoo Finance [ticker]/sustainability</t>
  </si>
  <si>
    <t>Verificar CDP A-List anual (publicación feb-marzo)</t>
  </si>
  <si>
    <t>Comprobar S&amp;P Global ESG Scores</t>
  </si>
  <si>
    <t>Leer Clean200 ranking anual (feb) - iberdrola.com</t>
  </si>
  <si>
    <t>ALERTAS A VIGILAR:</t>
  </si>
  <si>
    <t>Empresa</t>
  </si>
  <si>
    <t>Métrica clave a seguir</t>
  </si>
  <si>
    <t>Progreso hacia 95 GW renovables 2030</t>
  </si>
  <si>
    <t>Informes trimestrales Iberdrola</t>
  </si>
  <si>
    <t>XYL, ECL</t>
  </si>
  <si>
    <t>Cumplimiento objetivos agua 2030 (2B m³, 300B galones)</t>
  </si>
  <si>
    <t>Informes anuales sostenibilidad</t>
  </si>
  <si>
    <t>Avance Real Zero 2045 y proyectos offshore</t>
  </si>
  <si>
    <t>investor.nexteraenergy.com</t>
  </si>
  <si>
    <t>Utilities</t>
  </si>
  <si>
    <t>Velocidad cierre térmicas y % renovables</t>
  </si>
  <si>
    <t>Earnings calls</t>
  </si>
  <si>
    <t>Métricas reciclaje y gas vertedero</t>
  </si>
  <si>
    <t>wm.com/sustainability</t>
  </si>
  <si>
    <t>Razón exclusión/inclusión</t>
  </si>
  <si>
    <t>✅ Verde</t>
  </si>
  <si>
    <t>Líder renovables USA</t>
  </si>
  <si>
    <t>Path to Clean, Net Zero 2050</t>
  </si>
  <si>
    <t>Transición energética</t>
  </si>
  <si>
    <t>Objetivos descarbonización</t>
  </si>
  <si>
    <t>Más sostenible mundo 7 años</t>
  </si>
  <si>
    <t>100% renovables</t>
  </si>
  <si>
    <t>Renovables puras</t>
  </si>
  <si>
    <t>Top 5 Most Responsible</t>
  </si>
  <si>
    <t>Líder tecnología agua</t>
  </si>
  <si>
    <t>Doble A CDP</t>
  </si>
  <si>
    <t>Economía circular</t>
  </si>
  <si>
    <t>HVAC sostenible</t>
  </si>
  <si>
    <t>Transporte baja emisión</t>
  </si>
  <si>
    <t>Infraestructura crítica</t>
  </si>
  <si>
    <t>Naves LEED</t>
  </si>
  <si>
    <t>Activo duradero</t>
  </si>
  <si>
    <t>Servicio esencial</t>
  </si>
  <si>
    <t>Salud pública</t>
  </si>
  <si>
    <t>KO</t>
  </si>
  <si>
    <t>Coca-Cola</t>
  </si>
  <si>
    <t>Consumo</t>
  </si>
  <si>
    <t>⚠️ Mixto</t>
  </si>
  <si>
    <t>Plásticos, gestión agua</t>
  </si>
  <si>
    <t>MCD</t>
  </si>
  <si>
    <t>McDonald's</t>
  </si>
  <si>
    <t>Cadena suministro carne</t>
  </si>
  <si>
    <t>WMT</t>
  </si>
  <si>
    <t>Walmart</t>
  </si>
  <si>
    <t>Retail</t>
  </si>
  <si>
    <t>Condiciones laborales</t>
  </si>
  <si>
    <t>CSX</t>
  </si>
  <si>
    <t>CSX Corp</t>
  </si>
  <si>
    <t>Menos visibilidad ESG</t>
  </si>
  <si>
    <t>XOM</t>
  </si>
  <si>
    <t>Exxon Mobil</t>
  </si>
  <si>
    <t>Energía</t>
  </si>
  <si>
    <t>❌ Excluido</t>
  </si>
  <si>
    <t>Sin compromiso París, demandas accionistas</t>
  </si>
  <si>
    <t>CVX</t>
  </si>
  <si>
    <t>Chevron</t>
  </si>
  <si>
    <t>Fósiles sin transición clara</t>
  </si>
  <si>
    <t>RIO</t>
  </si>
  <si>
    <t>Rio Tinto</t>
  </si>
  <si>
    <t>Minería</t>
  </si>
  <si>
    <t>Juukan Gorge, contaminación agua</t>
  </si>
  <si>
    <t>BHP</t>
  </si>
  <si>
    <t>BHP Group</t>
  </si>
  <si>
    <t>Controversias ambientales/sociales</t>
  </si>
  <si>
    <t>ENB</t>
  </si>
  <si>
    <t>Enbridge</t>
  </si>
  <si>
    <t>Oleoductos</t>
  </si>
  <si>
    <t>Fósiles, riesgo fugas</t>
  </si>
  <si>
    <t>LMT</t>
  </si>
  <si>
    <t>Lockheed Martin</t>
  </si>
  <si>
    <t>Defensa</t>
  </si>
  <si>
    <t>Exclusión temática armas (opcional)</t>
  </si>
  <si>
    <t>PROMEDIO VERDES (18)</t>
  </si>
  <si>
    <t>PROMEDIO MIXTAS (4)</t>
  </si>
  <si>
    <t>PROMEDIO EXCLUIDAS (6)</t>
  </si>
  <si>
    <t>PROMEDIO TOTAL (28)</t>
  </si>
  <si>
    <t>FUENTES PARA ACTUALIZACIÓN ESG</t>
  </si>
  <si>
    <t>Yahoo Finance ESG</t>
  </si>
  <si>
    <t>Web Corporativa Sostenibilidad</t>
  </si>
  <si>
    <t>Notas</t>
  </si>
  <si>
    <t>finance.yahoo.com/quote/NEE/sustainability</t>
  </si>
  <si>
    <t>investor.nexteraenergy.com/sustainability</t>
  </si>
  <si>
    <t>Informes anuales + ESG Report</t>
  </si>
  <si>
    <t>finance.yahoo.com/quote/EXC/sustainability</t>
  </si>
  <si>
    <t>exeloncorp.com/sustainability</t>
  </si>
  <si>
    <t>Path to Clean docs</t>
  </si>
  <si>
    <t>finance.yahoo.com/quote/IBE/sustainability</t>
  </si>
  <si>
    <t>iberdrola.com/sustainability</t>
  </si>
  <si>
    <t>Clean200 líder, informes trimestrales</t>
  </si>
  <si>
    <t>finance.yahoo.com/quote/AWK/sustainability</t>
  </si>
  <si>
    <t>ir.amwater.com/sustainability</t>
  </si>
  <si>
    <t>Newsweek Top 5</t>
  </si>
  <si>
    <t>finance.yahoo.com/quote/XYL/sustainability</t>
  </si>
  <si>
    <t>xylem.com/sustainability</t>
  </si>
  <si>
    <t>Net Zero Carbon Champion</t>
  </si>
  <si>
    <t>finance.yahoo.com/quote/ECL/sustainability</t>
  </si>
  <si>
    <t>ecolab.com/corporate-responsibility</t>
  </si>
  <si>
    <t>CDP doble A, Water for Climate</t>
  </si>
  <si>
    <t>finance.yahoo.com/quote/WM/sustainability</t>
  </si>
  <si>
    <t>CEO Jim Fish interviews</t>
  </si>
  <si>
    <t>Otros</t>
  </si>
  <si>
    <t>finance.yahoo.com/quote/[TICKER]/sustainability</t>
  </si>
  <si>
    <t>[Buscar investor relations]</t>
  </si>
  <si>
    <t>Sección ESG/Sustainability</t>
  </si>
  <si>
    <t>FUENTES EXTERNAS CLAVE</t>
  </si>
  <si>
    <t>Plataforma</t>
  </si>
  <si>
    <t>Qué buscar</t>
  </si>
  <si>
    <t>Frecuencia</t>
  </si>
  <si>
    <t>Morningstar Sustainalytics</t>
  </si>
  <si>
    <t>morningstar.com &gt; buscar ticker &gt; ESG</t>
  </si>
  <si>
    <t>ESG Risk Score (Low/Medium/High)</t>
  </si>
  <si>
    <t>Trimestral</t>
  </si>
  <si>
    <t>CDP (Climate Disclosure)</t>
  </si>
  <si>
    <t>cdp.net</t>
  </si>
  <si>
    <t>A-List anual, scores agua/clima</t>
  </si>
  <si>
    <t>Anual (feb-mar)</t>
  </si>
  <si>
    <t>Clean200</t>
  </si>
  <si>
    <t>clean200.org</t>
  </si>
  <si>
    <t>Ranking energías limpias</t>
  </si>
  <si>
    <t>Anual (feb)</t>
  </si>
  <si>
    <t>Investing.com ESG</t>
  </si>
  <si>
    <t>investing.com/equities/[ticker] &gt; ESG tab</t>
  </si>
  <si>
    <t>Noticias ESG recientes</t>
  </si>
  <si>
    <t>Mensual</t>
  </si>
  <si>
    <t>S&amp;P Global ESG Scores</t>
  </si>
  <si>
    <t>RUTINA DE ACTUALIZACIÓN RECOMENDADA</t>
  </si>
  <si>
    <t>Tiempo estimado</t>
  </si>
  <si>
    <t>Semanal</t>
  </si>
  <si>
    <t>Revisar noticias ESG 18 empresas</t>
  </si>
  <si>
    <t>Yahoo Finance ESG News</t>
  </si>
  <si>
    <t>15 min</t>
  </si>
  <si>
    <t>Actualizar precios y métricas</t>
  </si>
  <si>
    <t>Yahoo Finance + Investing.com</t>
  </si>
  <si>
    <t>30 min</t>
  </si>
  <si>
    <t>Leer earnings calls + informes</t>
  </si>
  <si>
    <t>Investor Relations + Morningstar</t>
  </si>
  <si>
    <t>2-3 horas</t>
  </si>
  <si>
    <t>Anual</t>
  </si>
  <si>
    <t>Informes sostenibilidad completos</t>
  </si>
  <si>
    <t>Webs corporativas</t>
  </si>
  <si>
    <t>1 día</t>
  </si>
  <si>
    <t>CDP A-List + Clean200</t>
  </si>
  <si>
    <t>cdp.net + clean200.org</t>
  </si>
  <si>
    <t>1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</si>
</sst>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rgb="FF00B050"/>
      <name val="Calibri"/>
    </font>
    <font>
      <b/>
      <sz val="11"/>
      <color rgb="FFFF9900"/>
      <name val="Calibri"/>
    </font>
    <font>
      <b/>
      <sz val="11"/>
      <color rgb="FFC00000"/>
      <name val="Calibri"/>
    </font>
    <font>
      <b/>
      <sz val="11"/>
      <color rgb="FF203864"/>
      <name val="Calibri"/>
    </font>
    <font>
      <b/>
      <sz val="11"/>
      <color rgb="FFFFFFFF"/>
      <name val="Calibri"/>
    </font>
    <font>
      <b/>
      <sz val="12"/>
      <name val="Calibri"/>
    </font>
    <font>
      <b/>
      <sz val="16"/>
      <color rgb="FFFFFFFF"/>
      <name val="Calibri"/>
    </font>
    <font>
      <b/>
      <sz val="11"/>
      <color rgb="FFFF6600"/>
      <name val="Calibri"/>
    </font>
    <font>
      <b/>
      <sz val="11"/>
      <color rgb="FF70AD47"/>
      <name val="Calibri"/>
    </font>
    <font>
      <i/>
      <sz val="11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203864"/>
        <bgColor rgb="FF20386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/>
    <xf numFmtId="0" fontId="9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4" fillId="5" borderId="0" xfId="0" applyFont="1" applyFill="1"/>
    <xf numFmtId="0" fontId="0" fillId="0" borderId="0" xfId="0"/>
    <xf numFmtId="0" fontId="3" fillId="4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activeCell="A46" sqref="A46"/>
    </sheetView>
  </sheetViews>
  <sheetFormatPr baseColWidth="10" defaultColWidth="8.88671875" defaultRowHeight="14.4" x14ac:dyDescent="0.3"/>
  <cols>
    <col min="1" max="1" width="25" customWidth="1"/>
    <col min="2" max="2" width="50" customWidth="1"/>
    <col min="3" max="3" width="40" customWidth="1"/>
    <col min="4" max="4" width="25" customWidth="1"/>
    <col min="5" max="5" width="15" customWidth="1"/>
  </cols>
  <sheetData>
    <row r="1" spans="1:5" ht="30" customHeight="1" x14ac:dyDescent="0.3">
      <c r="A1" s="20" t="s">
        <v>0</v>
      </c>
      <c r="B1" s="15"/>
      <c r="C1" s="15"/>
      <c r="D1" s="15"/>
      <c r="E1" s="15"/>
    </row>
    <row r="2" spans="1:5" x14ac:dyDescent="0.3">
      <c r="A2" s="9"/>
      <c r="B2" s="9"/>
      <c r="C2" s="9"/>
      <c r="D2" s="9"/>
      <c r="E2" s="9"/>
    </row>
    <row r="3" spans="1:5" x14ac:dyDescent="0.3">
      <c r="A3" s="17" t="s">
        <v>1</v>
      </c>
      <c r="B3" s="15"/>
      <c r="C3" s="15"/>
      <c r="D3" s="15"/>
      <c r="E3" s="15"/>
    </row>
    <row r="4" spans="1:5" x14ac:dyDescent="0.3">
      <c r="A4" s="9"/>
      <c r="B4" s="9"/>
      <c r="C4" s="9"/>
      <c r="D4" s="9"/>
      <c r="E4" s="9"/>
    </row>
    <row r="5" spans="1:5" ht="72" x14ac:dyDescent="0.3">
      <c r="A5" s="9" t="s">
        <v>2</v>
      </c>
      <c r="B5" s="9"/>
      <c r="C5" s="9"/>
      <c r="D5" s="9"/>
      <c r="E5" s="9"/>
    </row>
    <row r="6" spans="1:5" x14ac:dyDescent="0.3">
      <c r="A6" s="9"/>
      <c r="B6" s="9"/>
      <c r="C6" s="9"/>
      <c r="D6" s="9"/>
      <c r="E6" s="9"/>
    </row>
    <row r="7" spans="1:5" ht="43.2" x14ac:dyDescent="0.3">
      <c r="A7" s="9" t="s">
        <v>3</v>
      </c>
      <c r="B7" s="9"/>
      <c r="C7" s="9"/>
      <c r="D7" s="9"/>
      <c r="E7" s="9"/>
    </row>
    <row r="8" spans="1:5" ht="57.6" x14ac:dyDescent="0.3">
      <c r="A8" s="9" t="s">
        <v>4</v>
      </c>
      <c r="B8" s="9"/>
      <c r="C8" s="9"/>
      <c r="D8" s="9"/>
      <c r="E8" s="9"/>
    </row>
    <row r="9" spans="1:5" x14ac:dyDescent="0.3">
      <c r="A9" s="9"/>
      <c r="B9" s="9"/>
      <c r="C9" s="9"/>
      <c r="D9" s="9"/>
      <c r="E9" s="9"/>
    </row>
    <row r="10" spans="1:5" ht="72" x14ac:dyDescent="0.3">
      <c r="A10" s="9" t="s">
        <v>5</v>
      </c>
      <c r="B10" s="9"/>
      <c r="C10" s="9"/>
      <c r="D10" s="9"/>
      <c r="E10" s="9"/>
    </row>
    <row r="11" spans="1:5" ht="43.2" x14ac:dyDescent="0.3">
      <c r="A11" s="9" t="s">
        <v>6</v>
      </c>
      <c r="B11" s="9"/>
      <c r="C11" s="9"/>
      <c r="D11" s="9"/>
      <c r="E11" s="9"/>
    </row>
    <row r="12" spans="1:5" ht="28.8" x14ac:dyDescent="0.3">
      <c r="A12" s="9" t="s">
        <v>7</v>
      </c>
      <c r="B12" s="9"/>
      <c r="C12" s="9"/>
      <c r="D12" s="9"/>
      <c r="E12" s="9"/>
    </row>
    <row r="13" spans="1:5" x14ac:dyDescent="0.3">
      <c r="A13" s="9" t="s">
        <v>8</v>
      </c>
      <c r="B13" s="9"/>
      <c r="C13" s="9"/>
      <c r="D13" s="9"/>
      <c r="E13" s="9"/>
    </row>
    <row r="14" spans="1:5" x14ac:dyDescent="0.3">
      <c r="A14" s="9" t="s">
        <v>9</v>
      </c>
      <c r="B14" s="9"/>
      <c r="C14" s="9"/>
      <c r="D14" s="9"/>
      <c r="E14" s="9"/>
    </row>
    <row r="15" spans="1:5" x14ac:dyDescent="0.3">
      <c r="A15" s="9" t="s">
        <v>10</v>
      </c>
      <c r="B15" s="9"/>
      <c r="C15" s="9"/>
      <c r="D15" s="9"/>
      <c r="E15" s="9"/>
    </row>
    <row r="16" spans="1:5" ht="28.8" x14ac:dyDescent="0.3">
      <c r="A16" s="9" t="s">
        <v>11</v>
      </c>
      <c r="B16" s="9"/>
      <c r="C16" s="9"/>
      <c r="D16" s="9"/>
      <c r="E16" s="9"/>
    </row>
    <row r="17" spans="1:5" ht="18" x14ac:dyDescent="0.3">
      <c r="A17" s="17"/>
      <c r="B17" s="15"/>
      <c r="C17" s="15"/>
      <c r="D17" s="15"/>
      <c r="E17" s="15"/>
    </row>
    <row r="18" spans="1:5" ht="28.8" x14ac:dyDescent="0.3">
      <c r="A18" s="9" t="s">
        <v>12</v>
      </c>
      <c r="B18" s="9"/>
      <c r="C18" s="9"/>
      <c r="D18" s="9"/>
      <c r="E18" s="9"/>
    </row>
    <row r="19" spans="1:5" x14ac:dyDescent="0.3">
      <c r="A19" s="10"/>
      <c r="B19" s="10"/>
      <c r="C19" s="10"/>
      <c r="D19" s="9"/>
      <c r="E19" s="9"/>
    </row>
    <row r="20" spans="1:5" x14ac:dyDescent="0.3">
      <c r="A20" s="9" t="s">
        <v>13</v>
      </c>
      <c r="B20" s="9" t="s">
        <v>14</v>
      </c>
      <c r="C20" s="9" t="s">
        <v>15</v>
      </c>
      <c r="D20" s="9"/>
      <c r="E20" s="9"/>
    </row>
    <row r="21" spans="1:5" ht="28.8" x14ac:dyDescent="0.3">
      <c r="A21" s="9" t="s">
        <v>16</v>
      </c>
      <c r="B21" s="9" t="s">
        <v>17</v>
      </c>
      <c r="C21" s="9" t="s">
        <v>18</v>
      </c>
      <c r="D21" s="9"/>
      <c r="E21" s="9"/>
    </row>
    <row r="22" spans="1:5" ht="28.8" x14ac:dyDescent="0.3">
      <c r="A22" s="9" t="s">
        <v>19</v>
      </c>
      <c r="B22" s="9" t="s">
        <v>20</v>
      </c>
      <c r="C22" s="9" t="s">
        <v>21</v>
      </c>
      <c r="D22" s="9"/>
      <c r="E22" s="9"/>
    </row>
    <row r="23" spans="1:5" ht="28.8" x14ac:dyDescent="0.3">
      <c r="A23" s="9" t="s">
        <v>22</v>
      </c>
      <c r="B23" s="9" t="s">
        <v>23</v>
      </c>
      <c r="C23" s="9" t="s">
        <v>24</v>
      </c>
      <c r="D23" s="9"/>
      <c r="E23" s="9"/>
    </row>
    <row r="24" spans="1:5" x14ac:dyDescent="0.3">
      <c r="A24" s="9" t="s">
        <v>25</v>
      </c>
      <c r="B24" s="9" t="s">
        <v>26</v>
      </c>
      <c r="C24" s="9" t="s">
        <v>27</v>
      </c>
      <c r="D24" s="9"/>
      <c r="E24" s="9"/>
    </row>
    <row r="25" spans="1:5" ht="18" x14ac:dyDescent="0.3">
      <c r="A25" s="14"/>
      <c r="B25" s="15"/>
      <c r="C25" s="15"/>
      <c r="D25" s="15"/>
      <c r="E25" s="15"/>
    </row>
    <row r="26" spans="1:5" ht="28.8" x14ac:dyDescent="0.3">
      <c r="A26" s="9" t="s">
        <v>28</v>
      </c>
      <c r="B26" s="9"/>
      <c r="C26" s="9"/>
      <c r="D26" s="9"/>
      <c r="E26" s="9"/>
    </row>
    <row r="27" spans="1:5" x14ac:dyDescent="0.3">
      <c r="A27" s="11"/>
      <c r="B27" s="9"/>
      <c r="C27" s="9"/>
      <c r="D27" s="9"/>
      <c r="E27" s="9"/>
    </row>
    <row r="28" spans="1:5" ht="43.2" x14ac:dyDescent="0.3">
      <c r="A28" s="9" t="s">
        <v>29</v>
      </c>
      <c r="B28" s="9"/>
      <c r="C28" s="9"/>
      <c r="D28" s="9"/>
      <c r="E28" s="9"/>
    </row>
    <row r="29" spans="1:5" x14ac:dyDescent="0.3">
      <c r="A29" s="10"/>
      <c r="B29" s="10"/>
      <c r="C29" s="10"/>
      <c r="D29" s="10"/>
      <c r="E29" s="9"/>
    </row>
    <row r="30" spans="1:5" x14ac:dyDescent="0.3">
      <c r="A30" s="9" t="s">
        <v>30</v>
      </c>
      <c r="B30" s="9" t="s">
        <v>31</v>
      </c>
      <c r="C30" s="9" t="s">
        <v>32</v>
      </c>
      <c r="D30" s="9" t="s">
        <v>33</v>
      </c>
      <c r="E30" s="9"/>
    </row>
    <row r="31" spans="1:5" x14ac:dyDescent="0.3">
      <c r="A31" s="9" t="s">
        <v>34</v>
      </c>
      <c r="B31" s="9" t="s">
        <v>35</v>
      </c>
      <c r="C31" s="9" t="s">
        <v>36</v>
      </c>
      <c r="D31" s="9"/>
      <c r="E31" s="9"/>
    </row>
    <row r="32" spans="1:5" x14ac:dyDescent="0.3">
      <c r="A32" s="9" t="s">
        <v>37</v>
      </c>
      <c r="B32" s="9" t="s">
        <v>38</v>
      </c>
      <c r="C32" s="9" t="s">
        <v>39</v>
      </c>
      <c r="D32" s="9"/>
      <c r="E32" s="9"/>
    </row>
    <row r="33" spans="1:5" x14ac:dyDescent="0.3">
      <c r="A33" s="9" t="s">
        <v>40</v>
      </c>
      <c r="B33" s="9" t="s">
        <v>41</v>
      </c>
      <c r="C33" s="9"/>
      <c r="D33" s="9"/>
      <c r="E33" s="9"/>
    </row>
    <row r="34" spans="1:5" x14ac:dyDescent="0.3">
      <c r="A34" s="9"/>
      <c r="B34" s="9" t="s">
        <v>42</v>
      </c>
      <c r="C34" s="9" t="s">
        <v>43</v>
      </c>
      <c r="D34" s="9" t="s">
        <v>44</v>
      </c>
      <c r="E34" s="9"/>
    </row>
    <row r="35" spans="1:5" x14ac:dyDescent="0.3">
      <c r="A35" s="9"/>
      <c r="B35" s="9" t="s">
        <v>45</v>
      </c>
      <c r="C35" s="9" t="s">
        <v>46</v>
      </c>
      <c r="D35" s="9" t="s">
        <v>47</v>
      </c>
      <c r="E35" s="9"/>
    </row>
    <row r="36" spans="1:5" x14ac:dyDescent="0.3">
      <c r="A36" s="9"/>
      <c r="B36" s="9" t="s">
        <v>48</v>
      </c>
      <c r="C36" s="9" t="s">
        <v>49</v>
      </c>
      <c r="D36" s="9" t="s">
        <v>50</v>
      </c>
      <c r="E36" s="9"/>
    </row>
    <row r="37" spans="1:5" x14ac:dyDescent="0.3">
      <c r="A37" s="9"/>
      <c r="B37" s="9" t="s">
        <v>51</v>
      </c>
      <c r="C37" s="9" t="s">
        <v>52</v>
      </c>
      <c r="D37" s="9" t="s">
        <v>53</v>
      </c>
      <c r="E37" s="9"/>
    </row>
    <row r="38" spans="1:5" x14ac:dyDescent="0.3">
      <c r="A38" s="9"/>
      <c r="B38" s="9" t="s">
        <v>54</v>
      </c>
      <c r="C38" s="9" t="s">
        <v>55</v>
      </c>
      <c r="D38" s="9" t="s">
        <v>56</v>
      </c>
      <c r="E38" s="9"/>
    </row>
    <row r="39" spans="1:5" x14ac:dyDescent="0.3">
      <c r="A39" s="9" t="s">
        <v>57</v>
      </c>
      <c r="B39" s="9" t="s">
        <v>58</v>
      </c>
      <c r="C39" s="9" t="s">
        <v>59</v>
      </c>
      <c r="D39" s="9"/>
      <c r="E39" s="9"/>
    </row>
    <row r="40" spans="1:5" x14ac:dyDescent="0.3">
      <c r="A40" s="9"/>
      <c r="B40" s="9" t="s">
        <v>60</v>
      </c>
      <c r="C40" s="9" t="s">
        <v>61</v>
      </c>
      <c r="D40" s="9" t="s">
        <v>62</v>
      </c>
      <c r="E40" s="9"/>
    </row>
    <row r="41" spans="1:5" x14ac:dyDescent="0.3">
      <c r="A41" s="9"/>
      <c r="B41" s="9" t="s">
        <v>63</v>
      </c>
      <c r="C41" s="9" t="s">
        <v>64</v>
      </c>
      <c r="D41" s="9" t="s">
        <v>65</v>
      </c>
      <c r="E41" s="9"/>
    </row>
    <row r="42" spans="1:5" x14ac:dyDescent="0.3">
      <c r="A42" s="9" t="s">
        <v>66</v>
      </c>
      <c r="B42" s="9" t="s">
        <v>67</v>
      </c>
      <c r="C42" s="9" t="s">
        <v>68</v>
      </c>
      <c r="D42" s="9" t="s">
        <v>69</v>
      </c>
      <c r="E42" s="9"/>
    </row>
    <row r="43" spans="1:5" x14ac:dyDescent="0.3">
      <c r="A43" s="16" t="s">
        <v>70</v>
      </c>
      <c r="B43" s="15"/>
      <c r="C43" s="15"/>
      <c r="D43" s="15"/>
      <c r="E43" s="15"/>
    </row>
    <row r="44" spans="1:5" x14ac:dyDescent="0.3">
      <c r="A44" s="9"/>
      <c r="B44" s="9"/>
      <c r="C44" s="9"/>
      <c r="D44" s="9"/>
      <c r="E44" s="9"/>
    </row>
    <row r="45" spans="1:5" x14ac:dyDescent="0.3">
      <c r="A45" s="9"/>
      <c r="B45" s="9"/>
      <c r="C45" s="9"/>
      <c r="D45" s="9"/>
      <c r="E45" s="9"/>
    </row>
    <row r="46" spans="1:5" ht="28.8" x14ac:dyDescent="0.3">
      <c r="A46" s="9" t="s">
        <v>71</v>
      </c>
      <c r="B46" s="9"/>
      <c r="C46" s="9"/>
      <c r="D46" s="9"/>
      <c r="E46" s="9"/>
    </row>
    <row r="47" spans="1:5" x14ac:dyDescent="0.3">
      <c r="A47" s="9"/>
      <c r="B47" s="9"/>
      <c r="C47" s="9"/>
      <c r="D47" s="9"/>
      <c r="E47" s="9"/>
    </row>
    <row r="48" spans="1:5" ht="28.8" x14ac:dyDescent="0.3">
      <c r="A48" s="9" t="s">
        <v>72</v>
      </c>
      <c r="B48" s="9"/>
      <c r="C48" s="9"/>
      <c r="D48" s="9"/>
      <c r="E48" s="9"/>
    </row>
    <row r="49" spans="1:5" ht="57.6" x14ac:dyDescent="0.3">
      <c r="A49" s="9" t="s">
        <v>73</v>
      </c>
      <c r="B49" s="9"/>
      <c r="C49" s="9"/>
      <c r="D49" s="9"/>
      <c r="E49" s="9"/>
    </row>
    <row r="50" spans="1:5" ht="57.6" x14ac:dyDescent="0.3">
      <c r="A50" s="9" t="s">
        <v>74</v>
      </c>
      <c r="B50" s="9"/>
      <c r="C50" s="9"/>
      <c r="D50" s="9"/>
      <c r="E50" s="9"/>
    </row>
    <row r="51" spans="1:5" ht="57.6" x14ac:dyDescent="0.3">
      <c r="A51" s="9" t="s">
        <v>75</v>
      </c>
      <c r="B51" s="9"/>
      <c r="C51" s="9"/>
      <c r="D51" s="9"/>
      <c r="E51" s="9"/>
    </row>
    <row r="52" spans="1:5" x14ac:dyDescent="0.3">
      <c r="A52" s="14" t="s">
        <v>76</v>
      </c>
      <c r="B52" s="15"/>
      <c r="C52" s="15"/>
      <c r="D52" s="15"/>
      <c r="E52" s="15"/>
    </row>
    <row r="53" spans="1:5" ht="43.2" x14ac:dyDescent="0.3">
      <c r="A53" s="9" t="s">
        <v>77</v>
      </c>
      <c r="B53" s="9"/>
      <c r="C53" s="9"/>
      <c r="D53" s="9"/>
      <c r="E53" s="9"/>
    </row>
    <row r="54" spans="1:5" x14ac:dyDescent="0.3">
      <c r="A54" s="9"/>
      <c r="B54" s="9"/>
      <c r="C54" s="9"/>
      <c r="D54" s="9"/>
      <c r="E54" s="9"/>
    </row>
    <row r="55" spans="1:5" ht="28.8" x14ac:dyDescent="0.3">
      <c r="A55" s="9" t="s">
        <v>78</v>
      </c>
      <c r="B55" s="9"/>
      <c r="C55" s="9"/>
      <c r="D55" s="9"/>
      <c r="E55" s="9"/>
    </row>
    <row r="56" spans="1:5" x14ac:dyDescent="0.3">
      <c r="A56" s="12"/>
      <c r="B56" s="9"/>
      <c r="C56" s="9"/>
      <c r="D56" s="9"/>
      <c r="E56" s="9"/>
    </row>
    <row r="57" spans="1:5" ht="43.2" x14ac:dyDescent="0.3">
      <c r="A57" s="9" t="s">
        <v>79</v>
      </c>
      <c r="B57" s="9"/>
      <c r="C57" s="9"/>
      <c r="D57" s="9"/>
      <c r="E57" s="9"/>
    </row>
    <row r="58" spans="1:5" x14ac:dyDescent="0.3">
      <c r="A58" s="9"/>
      <c r="B58" s="9"/>
      <c r="C58" s="9"/>
      <c r="D58" s="9"/>
      <c r="E58" s="9"/>
    </row>
    <row r="59" spans="1:5" x14ac:dyDescent="0.3">
      <c r="A59" s="9" t="s">
        <v>80</v>
      </c>
      <c r="B59" s="9"/>
      <c r="C59" s="9"/>
      <c r="D59" s="9"/>
      <c r="E59" s="9"/>
    </row>
    <row r="60" spans="1:5" ht="43.2" x14ac:dyDescent="0.3">
      <c r="A60" s="9" t="s">
        <v>81</v>
      </c>
      <c r="B60" s="9"/>
      <c r="C60" s="9"/>
      <c r="D60" s="9"/>
      <c r="E60" s="9"/>
    </row>
    <row r="61" spans="1:5" ht="43.2" x14ac:dyDescent="0.3">
      <c r="A61" s="9" t="s">
        <v>82</v>
      </c>
      <c r="B61" s="9"/>
      <c r="C61" s="9"/>
      <c r="D61" s="9"/>
      <c r="E61" s="9"/>
    </row>
    <row r="62" spans="1:5" ht="57.6" x14ac:dyDescent="0.3">
      <c r="A62" s="9" t="s">
        <v>83</v>
      </c>
      <c r="B62" s="9"/>
      <c r="C62" s="9"/>
      <c r="D62" s="9"/>
      <c r="E62" s="9"/>
    </row>
    <row r="63" spans="1:5" ht="43.2" x14ac:dyDescent="0.3">
      <c r="A63" s="12" t="s">
        <v>84</v>
      </c>
      <c r="B63" s="9"/>
      <c r="C63" s="9"/>
      <c r="D63" s="9"/>
      <c r="E63" s="9"/>
    </row>
    <row r="64" spans="1:5" ht="57.6" x14ac:dyDescent="0.3">
      <c r="A64" s="9" t="s">
        <v>85</v>
      </c>
      <c r="B64" s="9"/>
      <c r="C64" s="9"/>
      <c r="D64" s="9"/>
      <c r="E64" s="9"/>
    </row>
    <row r="65" spans="1:5" x14ac:dyDescent="0.3">
      <c r="A65" s="9"/>
      <c r="B65" s="9"/>
      <c r="C65" s="9"/>
      <c r="D65" s="9"/>
      <c r="E65" s="9"/>
    </row>
    <row r="66" spans="1:5" ht="28.8" x14ac:dyDescent="0.3">
      <c r="A66" s="9" t="s">
        <v>86</v>
      </c>
      <c r="B66" s="9"/>
      <c r="C66" s="9"/>
      <c r="D66" s="9"/>
      <c r="E66" s="9"/>
    </row>
    <row r="67" spans="1:5" ht="57.6" x14ac:dyDescent="0.3">
      <c r="A67" s="9" t="s">
        <v>87</v>
      </c>
      <c r="B67" s="9"/>
      <c r="C67" s="9"/>
      <c r="D67" s="9"/>
      <c r="E67" s="9"/>
    </row>
    <row r="68" spans="1:5" ht="57.6" x14ac:dyDescent="0.3">
      <c r="A68" s="12" t="s">
        <v>88</v>
      </c>
      <c r="B68" s="9"/>
      <c r="C68" s="9"/>
      <c r="D68" s="9"/>
      <c r="E68" s="9"/>
    </row>
    <row r="69" spans="1:5" ht="43.2" x14ac:dyDescent="0.3">
      <c r="A69" s="9" t="s">
        <v>89</v>
      </c>
      <c r="B69" s="9"/>
      <c r="C69" s="9"/>
      <c r="D69" s="9"/>
      <c r="E69" s="9"/>
    </row>
    <row r="70" spans="1:5" x14ac:dyDescent="0.3">
      <c r="A70" s="9"/>
      <c r="B70" s="9"/>
      <c r="C70" s="9"/>
      <c r="D70" s="9"/>
      <c r="E70" s="9"/>
    </row>
    <row r="71" spans="1:5" ht="28.8" x14ac:dyDescent="0.3">
      <c r="A71" s="9" t="s">
        <v>90</v>
      </c>
      <c r="B71" s="9"/>
      <c r="C71" s="9"/>
      <c r="D71" s="9"/>
      <c r="E71" s="9"/>
    </row>
    <row r="72" spans="1:5" ht="28.8" x14ac:dyDescent="0.3">
      <c r="A72" s="9" t="s">
        <v>91</v>
      </c>
      <c r="B72" s="9"/>
      <c r="C72" s="9"/>
      <c r="D72" s="9"/>
      <c r="E72" s="9"/>
    </row>
    <row r="73" spans="1:5" ht="57.6" x14ac:dyDescent="0.3">
      <c r="A73" s="9" t="s">
        <v>92</v>
      </c>
      <c r="B73" s="9"/>
      <c r="C73" s="9"/>
      <c r="D73" s="9"/>
      <c r="E73" s="9"/>
    </row>
    <row r="74" spans="1:5" ht="43.2" x14ac:dyDescent="0.3">
      <c r="A74" s="9" t="s">
        <v>93</v>
      </c>
      <c r="B74" s="9"/>
      <c r="C74" s="9"/>
      <c r="D74" s="9"/>
      <c r="E74" s="9"/>
    </row>
    <row r="75" spans="1:5" x14ac:dyDescent="0.3">
      <c r="A75" s="19" t="s">
        <v>94</v>
      </c>
      <c r="B75" s="15"/>
      <c r="C75" s="15"/>
      <c r="D75" s="15"/>
      <c r="E75" s="15"/>
    </row>
    <row r="76" spans="1:5" ht="57.6" x14ac:dyDescent="0.3">
      <c r="A76" s="9" t="s">
        <v>95</v>
      </c>
      <c r="B76" s="9"/>
      <c r="C76" s="9"/>
      <c r="D76" s="9"/>
      <c r="E76" s="9"/>
    </row>
    <row r="77" spans="1:5" x14ac:dyDescent="0.3">
      <c r="A77" s="9"/>
      <c r="B77" s="9"/>
      <c r="C77" s="9"/>
      <c r="D77" s="9"/>
      <c r="E77" s="9"/>
    </row>
    <row r="78" spans="1:5" x14ac:dyDescent="0.3">
      <c r="A78" s="9" t="s">
        <v>96</v>
      </c>
      <c r="B78" s="9"/>
      <c r="C78" s="9"/>
      <c r="D78" s="9"/>
      <c r="E78" s="9"/>
    </row>
    <row r="79" spans="1:5" x14ac:dyDescent="0.3">
      <c r="A79" s="9"/>
      <c r="B79" s="9"/>
      <c r="C79" s="9"/>
      <c r="D79" s="9"/>
      <c r="E79" s="9"/>
    </row>
    <row r="80" spans="1:5" ht="28.8" x14ac:dyDescent="0.3">
      <c r="A80" s="9" t="s">
        <v>97</v>
      </c>
      <c r="B80" s="9"/>
      <c r="C80" s="9"/>
      <c r="D80" s="9"/>
      <c r="E80" s="9"/>
    </row>
    <row r="81" spans="1:5" ht="72" x14ac:dyDescent="0.3">
      <c r="A81" s="9" t="s">
        <v>98</v>
      </c>
      <c r="B81" s="9"/>
      <c r="C81" s="9"/>
      <c r="D81" s="9"/>
      <c r="E81" s="9"/>
    </row>
    <row r="82" spans="1:5" x14ac:dyDescent="0.3">
      <c r="A82" s="9"/>
      <c r="B82" s="9"/>
      <c r="C82" s="9"/>
      <c r="D82" s="9"/>
      <c r="E82" s="9"/>
    </row>
    <row r="83" spans="1:5" ht="28.8" x14ac:dyDescent="0.3">
      <c r="A83" s="9" t="s">
        <v>99</v>
      </c>
      <c r="B83" s="9"/>
      <c r="C83" s="9"/>
      <c r="D83" s="9"/>
      <c r="E83" s="9"/>
    </row>
    <row r="84" spans="1:5" ht="72" x14ac:dyDescent="0.3">
      <c r="A84" s="9" t="s">
        <v>100</v>
      </c>
      <c r="B84" s="9"/>
      <c r="C84" s="9"/>
      <c r="D84" s="9"/>
      <c r="E84" s="9"/>
    </row>
    <row r="85" spans="1:5" x14ac:dyDescent="0.3">
      <c r="A85" s="9"/>
      <c r="B85" s="9"/>
      <c r="C85" s="9"/>
      <c r="D85" s="9"/>
      <c r="E85" s="9"/>
    </row>
    <row r="86" spans="1:5" ht="28.8" x14ac:dyDescent="0.3">
      <c r="A86" s="9" t="s">
        <v>101</v>
      </c>
      <c r="B86" s="9"/>
      <c r="C86" s="9"/>
      <c r="D86" s="9"/>
      <c r="E86" s="9"/>
    </row>
    <row r="87" spans="1:5" ht="57.6" x14ac:dyDescent="0.3">
      <c r="A87" s="9" t="s">
        <v>102</v>
      </c>
      <c r="B87" s="9"/>
      <c r="C87" s="9"/>
      <c r="D87" s="9"/>
      <c r="E87" s="9"/>
    </row>
    <row r="88" spans="1:5" x14ac:dyDescent="0.3">
      <c r="A88" s="9"/>
      <c r="B88" s="9"/>
      <c r="C88" s="9"/>
      <c r="D88" s="9"/>
      <c r="E88" s="9"/>
    </row>
    <row r="89" spans="1:5" ht="43.2" x14ac:dyDescent="0.3">
      <c r="A89" s="9" t="s">
        <v>103</v>
      </c>
      <c r="B89" s="9"/>
      <c r="C89" s="9"/>
      <c r="D89" s="9"/>
      <c r="E89" s="9"/>
    </row>
    <row r="90" spans="1:5" ht="57.6" x14ac:dyDescent="0.3">
      <c r="A90" s="9" t="s">
        <v>104</v>
      </c>
      <c r="B90" s="9"/>
      <c r="C90" s="9"/>
      <c r="D90" s="9"/>
      <c r="E90" s="9"/>
    </row>
    <row r="91" spans="1:5" x14ac:dyDescent="0.3">
      <c r="A91" s="9"/>
      <c r="B91" s="9"/>
      <c r="C91" s="9"/>
      <c r="D91" s="9"/>
      <c r="E91" s="9"/>
    </row>
    <row r="92" spans="1:5" ht="28.8" x14ac:dyDescent="0.3">
      <c r="A92" s="9" t="s">
        <v>105</v>
      </c>
      <c r="B92" s="9"/>
      <c r="C92" s="9"/>
      <c r="D92" s="9"/>
      <c r="E92" s="9"/>
    </row>
    <row r="93" spans="1:5" ht="57.6" x14ac:dyDescent="0.3">
      <c r="A93" s="9" t="s">
        <v>106</v>
      </c>
      <c r="B93" s="9"/>
      <c r="C93" s="9"/>
      <c r="D93" s="9"/>
      <c r="E93" s="9"/>
    </row>
    <row r="94" spans="1:5" x14ac:dyDescent="0.3">
      <c r="A94" s="17" t="s">
        <v>107</v>
      </c>
      <c r="B94" s="15"/>
      <c r="C94" s="15"/>
      <c r="D94" s="15"/>
      <c r="E94" s="15"/>
    </row>
    <row r="95" spans="1:5" x14ac:dyDescent="0.3">
      <c r="A95" s="9"/>
      <c r="B95" s="9"/>
      <c r="C95" s="9"/>
      <c r="D95" s="9"/>
      <c r="E95" s="9"/>
    </row>
    <row r="96" spans="1:5" ht="28.8" x14ac:dyDescent="0.3">
      <c r="A96" s="10" t="s">
        <v>108</v>
      </c>
      <c r="B96" s="10"/>
      <c r="C96" s="10"/>
      <c r="D96" s="9"/>
      <c r="E96" s="9"/>
    </row>
    <row r="97" spans="1:5" x14ac:dyDescent="0.3">
      <c r="A97" s="9"/>
      <c r="B97" s="9"/>
      <c r="C97" s="9"/>
      <c r="D97" s="9"/>
      <c r="E97" s="9"/>
    </row>
    <row r="98" spans="1:5" x14ac:dyDescent="0.3">
      <c r="A98" s="9" t="s">
        <v>109</v>
      </c>
      <c r="B98" s="9" t="s">
        <v>110</v>
      </c>
      <c r="C98" s="9" t="s">
        <v>111</v>
      </c>
      <c r="D98" s="9"/>
      <c r="E98" s="9"/>
    </row>
    <row r="99" spans="1:5" x14ac:dyDescent="0.3">
      <c r="A99" s="9" t="s">
        <v>112</v>
      </c>
      <c r="B99" s="9" t="s">
        <v>113</v>
      </c>
      <c r="C99" s="9" t="s">
        <v>114</v>
      </c>
      <c r="D99" s="9"/>
      <c r="E99" s="9"/>
    </row>
    <row r="100" spans="1:5" x14ac:dyDescent="0.3">
      <c r="A100" s="9" t="s">
        <v>115</v>
      </c>
      <c r="B100" s="9" t="s">
        <v>36</v>
      </c>
      <c r="C100" s="9" t="s">
        <v>116</v>
      </c>
      <c r="D100" s="9"/>
      <c r="E100" s="9"/>
    </row>
    <row r="101" spans="1:5" x14ac:dyDescent="0.3">
      <c r="A101" s="9" t="s">
        <v>117</v>
      </c>
      <c r="B101" s="9" t="s">
        <v>118</v>
      </c>
      <c r="C101" s="9" t="s">
        <v>119</v>
      </c>
      <c r="D101" s="9"/>
      <c r="E101" s="9"/>
    </row>
    <row r="102" spans="1:5" x14ac:dyDescent="0.3">
      <c r="A102" s="9" t="s">
        <v>120</v>
      </c>
      <c r="B102" s="9" t="s">
        <v>121</v>
      </c>
      <c r="C102" s="9" t="s">
        <v>122</v>
      </c>
      <c r="D102" s="9"/>
      <c r="E102" s="9"/>
    </row>
    <row r="103" spans="1:5" x14ac:dyDescent="0.3">
      <c r="A103" s="18" t="s">
        <v>123</v>
      </c>
      <c r="B103" s="15"/>
      <c r="C103" s="15"/>
      <c r="D103" s="15"/>
      <c r="E103" s="15"/>
    </row>
    <row r="104" spans="1:5" x14ac:dyDescent="0.3">
      <c r="A104" s="9"/>
      <c r="B104" s="9"/>
      <c r="C104" s="9"/>
      <c r="D104" s="9"/>
      <c r="E104" s="9"/>
    </row>
    <row r="105" spans="1:5" x14ac:dyDescent="0.3">
      <c r="A105" s="9" t="s">
        <v>124</v>
      </c>
      <c r="B105" s="9"/>
      <c r="C105" s="9"/>
      <c r="D105" s="9"/>
      <c r="E105" s="9"/>
    </row>
    <row r="106" spans="1:5" x14ac:dyDescent="0.3">
      <c r="A106" s="9"/>
      <c r="B106" s="9"/>
      <c r="C106" s="9"/>
      <c r="D106" s="9"/>
      <c r="E106" s="9"/>
    </row>
    <row r="107" spans="1:5" ht="43.2" x14ac:dyDescent="0.3">
      <c r="A107" s="9" t="s">
        <v>125</v>
      </c>
      <c r="B107" s="9"/>
      <c r="C107" s="9"/>
      <c r="D107" s="9"/>
      <c r="E107" s="9"/>
    </row>
    <row r="108" spans="1:5" x14ac:dyDescent="0.3">
      <c r="A108" s="9"/>
      <c r="B108" s="9"/>
      <c r="C108" s="9"/>
      <c r="D108" s="9"/>
      <c r="E108" s="9"/>
    </row>
    <row r="109" spans="1:5" ht="43.2" x14ac:dyDescent="0.3">
      <c r="A109" s="9" t="s">
        <v>126</v>
      </c>
      <c r="B109" s="9"/>
      <c r="C109" s="9"/>
      <c r="D109" s="9"/>
      <c r="E109" s="9"/>
    </row>
    <row r="110" spans="1:5" ht="57.6" x14ac:dyDescent="0.3">
      <c r="A110" s="9" t="s">
        <v>127</v>
      </c>
      <c r="B110" s="9"/>
      <c r="C110" s="9"/>
      <c r="D110" s="9"/>
      <c r="E110" s="9"/>
    </row>
    <row r="111" spans="1:5" ht="43.2" x14ac:dyDescent="0.3">
      <c r="A111" s="9" t="s">
        <v>128</v>
      </c>
      <c r="B111" s="9"/>
      <c r="C111" s="9"/>
      <c r="D111" s="9"/>
      <c r="E111" s="9"/>
    </row>
    <row r="112" spans="1:5" ht="43.2" x14ac:dyDescent="0.3">
      <c r="A112" s="13" t="s">
        <v>129</v>
      </c>
      <c r="B112" s="9"/>
      <c r="C112" s="9"/>
      <c r="D112" s="9"/>
      <c r="E112" s="9"/>
    </row>
    <row r="113" spans="1:5" ht="43.2" x14ac:dyDescent="0.3">
      <c r="A113" s="13" t="s">
        <v>130</v>
      </c>
      <c r="B113" s="9"/>
      <c r="C113" s="9"/>
      <c r="D113" s="9"/>
      <c r="E113" s="9"/>
    </row>
    <row r="114" spans="1:5" x14ac:dyDescent="0.3">
      <c r="A114" s="9"/>
      <c r="B114" s="9"/>
      <c r="C114" s="9"/>
      <c r="D114" s="9"/>
      <c r="E114" s="9"/>
    </row>
    <row r="115" spans="1:5" ht="28.8" x14ac:dyDescent="0.3">
      <c r="A115" s="9" t="s">
        <v>131</v>
      </c>
      <c r="B115" s="9"/>
      <c r="C115" s="9"/>
      <c r="D115" s="9"/>
      <c r="E115" s="9"/>
    </row>
    <row r="116" spans="1:5" x14ac:dyDescent="0.3">
      <c r="A116" s="9" t="s">
        <v>132</v>
      </c>
      <c r="B116" s="9"/>
      <c r="C116" s="9"/>
      <c r="D116" s="9"/>
      <c r="E116" s="9"/>
    </row>
  </sheetData>
  <mergeCells count="9">
    <mergeCell ref="A1:E1"/>
    <mergeCell ref="A17:E17"/>
    <mergeCell ref="A3:E3"/>
    <mergeCell ref="A52:E52"/>
    <mergeCell ref="A43:E43"/>
    <mergeCell ref="A94:E94"/>
    <mergeCell ref="A103:E103"/>
    <mergeCell ref="A25:E25"/>
    <mergeCell ref="A75:E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"/>
  <sheetViews>
    <sheetView workbookViewId="0"/>
  </sheetViews>
  <sheetFormatPr baseColWidth="10" defaultColWidth="8.88671875" defaultRowHeight="14.4" x14ac:dyDescent="0.3"/>
  <cols>
    <col min="1" max="1" width="10" customWidth="1"/>
    <col min="2" max="2" width="25" customWidth="1"/>
    <col min="3" max="3" width="12" customWidth="1"/>
    <col min="4" max="4" width="20" customWidth="1"/>
    <col min="5" max="21" width="12" customWidth="1"/>
    <col min="22" max="22" width="18" customWidth="1"/>
    <col min="23" max="23" width="80" customWidth="1"/>
  </cols>
  <sheetData>
    <row r="1" spans="1:23" ht="43.2" x14ac:dyDescent="0.3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</row>
    <row r="2" spans="1:23" x14ac:dyDescent="0.3">
      <c r="A2" t="s">
        <v>156</v>
      </c>
      <c r="B2" t="s">
        <v>157</v>
      </c>
      <c r="C2" t="s">
        <v>158</v>
      </c>
      <c r="D2" t="s">
        <v>159</v>
      </c>
      <c r="U2" t="str">
        <f t="shared" ref="U2:U19" si="0">IF(E2&gt;0,(T2-E2)/E2*100,"")</f>
        <v/>
      </c>
      <c r="V2" t="s">
        <v>160</v>
      </c>
      <c r="W2" t="s">
        <v>161</v>
      </c>
    </row>
    <row r="3" spans="1:23" x14ac:dyDescent="0.3">
      <c r="A3" t="s">
        <v>162</v>
      </c>
      <c r="B3" t="s">
        <v>163</v>
      </c>
      <c r="C3" t="s">
        <v>158</v>
      </c>
      <c r="D3" t="s">
        <v>164</v>
      </c>
      <c r="U3" t="str">
        <f t="shared" si="0"/>
        <v/>
      </c>
      <c r="V3" t="s">
        <v>160</v>
      </c>
      <c r="W3" t="s">
        <v>165</v>
      </c>
    </row>
    <row r="4" spans="1:23" x14ac:dyDescent="0.3">
      <c r="A4" t="s">
        <v>166</v>
      </c>
      <c r="B4" t="s">
        <v>167</v>
      </c>
      <c r="C4" t="s">
        <v>158</v>
      </c>
      <c r="D4" t="s">
        <v>168</v>
      </c>
      <c r="U4" t="str">
        <f t="shared" si="0"/>
        <v/>
      </c>
      <c r="V4" t="s">
        <v>160</v>
      </c>
      <c r="W4" t="s">
        <v>169</v>
      </c>
    </row>
    <row r="5" spans="1:23" x14ac:dyDescent="0.3">
      <c r="A5" t="s">
        <v>170</v>
      </c>
      <c r="B5" t="s">
        <v>171</v>
      </c>
      <c r="C5" t="s">
        <v>158</v>
      </c>
      <c r="D5" t="s">
        <v>168</v>
      </c>
      <c r="U5" t="str">
        <f t="shared" si="0"/>
        <v/>
      </c>
      <c r="V5" t="s">
        <v>160</v>
      </c>
      <c r="W5" t="s">
        <v>172</v>
      </c>
    </row>
    <row r="6" spans="1:23" x14ac:dyDescent="0.3">
      <c r="A6" t="s">
        <v>173</v>
      </c>
      <c r="B6" t="s">
        <v>174</v>
      </c>
      <c r="C6" t="s">
        <v>175</v>
      </c>
      <c r="D6" t="s">
        <v>159</v>
      </c>
      <c r="U6" t="str">
        <f t="shared" si="0"/>
        <v/>
      </c>
      <c r="V6" t="s">
        <v>160</v>
      </c>
      <c r="W6" t="s">
        <v>176</v>
      </c>
    </row>
    <row r="7" spans="1:23" x14ac:dyDescent="0.3">
      <c r="A7" t="s">
        <v>177</v>
      </c>
      <c r="B7" t="s">
        <v>178</v>
      </c>
      <c r="C7" t="s">
        <v>179</v>
      </c>
      <c r="D7" t="s">
        <v>180</v>
      </c>
      <c r="U7" t="str">
        <f t="shared" si="0"/>
        <v/>
      </c>
      <c r="V7" t="s">
        <v>160</v>
      </c>
      <c r="W7" t="s">
        <v>181</v>
      </c>
    </row>
    <row r="8" spans="1:23" x14ac:dyDescent="0.3">
      <c r="A8" t="s">
        <v>182</v>
      </c>
      <c r="B8" t="s">
        <v>183</v>
      </c>
      <c r="C8" t="s">
        <v>184</v>
      </c>
      <c r="D8" t="s">
        <v>185</v>
      </c>
      <c r="U8" t="str">
        <f t="shared" si="0"/>
        <v/>
      </c>
      <c r="V8" t="s">
        <v>160</v>
      </c>
      <c r="W8" t="s">
        <v>186</v>
      </c>
    </row>
    <row r="9" spans="1:23" x14ac:dyDescent="0.3">
      <c r="A9" t="s">
        <v>187</v>
      </c>
      <c r="B9" t="s">
        <v>188</v>
      </c>
      <c r="C9" t="s">
        <v>158</v>
      </c>
      <c r="D9" t="s">
        <v>189</v>
      </c>
      <c r="U9" t="str">
        <f t="shared" si="0"/>
        <v/>
      </c>
      <c r="V9" t="s">
        <v>160</v>
      </c>
      <c r="W9" t="s">
        <v>190</v>
      </c>
    </row>
    <row r="10" spans="1:23" x14ac:dyDescent="0.3">
      <c r="A10" t="s">
        <v>191</v>
      </c>
      <c r="B10" t="s">
        <v>192</v>
      </c>
      <c r="C10" t="s">
        <v>158</v>
      </c>
      <c r="D10" t="s">
        <v>193</v>
      </c>
      <c r="U10" t="str">
        <f t="shared" si="0"/>
        <v/>
      </c>
      <c r="V10" t="s">
        <v>160</v>
      </c>
      <c r="W10" t="s">
        <v>194</v>
      </c>
    </row>
    <row r="11" spans="1:23" x14ac:dyDescent="0.3">
      <c r="A11" t="s">
        <v>195</v>
      </c>
      <c r="B11" t="s">
        <v>196</v>
      </c>
      <c r="C11" t="s">
        <v>158</v>
      </c>
      <c r="D11" t="s">
        <v>197</v>
      </c>
      <c r="U11" t="str">
        <f t="shared" si="0"/>
        <v/>
      </c>
      <c r="V11" t="s">
        <v>160</v>
      </c>
      <c r="W11" t="s">
        <v>198</v>
      </c>
    </row>
    <row r="12" spans="1:23" x14ac:dyDescent="0.3">
      <c r="A12" t="s">
        <v>199</v>
      </c>
      <c r="B12" t="s">
        <v>200</v>
      </c>
      <c r="C12" t="s">
        <v>158</v>
      </c>
      <c r="D12" t="s">
        <v>201</v>
      </c>
      <c r="U12" t="str">
        <f t="shared" si="0"/>
        <v/>
      </c>
      <c r="V12" t="s">
        <v>160</v>
      </c>
      <c r="W12" t="s">
        <v>202</v>
      </c>
    </row>
    <row r="13" spans="1:23" x14ac:dyDescent="0.3">
      <c r="A13" t="s">
        <v>203</v>
      </c>
      <c r="B13" t="s">
        <v>204</v>
      </c>
      <c r="C13" t="s">
        <v>158</v>
      </c>
      <c r="D13" t="s">
        <v>205</v>
      </c>
      <c r="U13" t="str">
        <f t="shared" si="0"/>
        <v/>
      </c>
      <c r="V13" t="s">
        <v>160</v>
      </c>
      <c r="W13" t="s">
        <v>206</v>
      </c>
    </row>
    <row r="14" spans="1:23" x14ac:dyDescent="0.3">
      <c r="A14" t="s">
        <v>207</v>
      </c>
      <c r="B14" t="s">
        <v>208</v>
      </c>
      <c r="C14" t="s">
        <v>158</v>
      </c>
      <c r="D14" t="s">
        <v>209</v>
      </c>
      <c r="U14" t="str">
        <f t="shared" si="0"/>
        <v/>
      </c>
      <c r="V14" t="s">
        <v>160</v>
      </c>
      <c r="W14" t="s">
        <v>210</v>
      </c>
    </row>
    <row r="15" spans="1:23" x14ac:dyDescent="0.3">
      <c r="A15" t="s">
        <v>211</v>
      </c>
      <c r="B15" t="s">
        <v>212</v>
      </c>
      <c r="C15" t="s">
        <v>213</v>
      </c>
      <c r="D15" t="s">
        <v>209</v>
      </c>
      <c r="U15" t="str">
        <f t="shared" si="0"/>
        <v/>
      </c>
      <c r="V15" t="s">
        <v>160</v>
      </c>
      <c r="W15" t="s">
        <v>214</v>
      </c>
    </row>
    <row r="16" spans="1:23" x14ac:dyDescent="0.3">
      <c r="A16" t="s">
        <v>215</v>
      </c>
      <c r="B16" t="s">
        <v>216</v>
      </c>
      <c r="C16" t="s">
        <v>158</v>
      </c>
      <c r="D16" t="s">
        <v>217</v>
      </c>
      <c r="U16" t="str">
        <f t="shared" si="0"/>
        <v/>
      </c>
      <c r="V16" t="s">
        <v>160</v>
      </c>
      <c r="W16" t="s">
        <v>218</v>
      </c>
    </row>
    <row r="17" spans="1:23" x14ac:dyDescent="0.3">
      <c r="A17" t="s">
        <v>219</v>
      </c>
      <c r="B17" t="s">
        <v>220</v>
      </c>
      <c r="C17" t="s">
        <v>158</v>
      </c>
      <c r="D17" t="s">
        <v>221</v>
      </c>
      <c r="U17" t="str">
        <f t="shared" si="0"/>
        <v/>
      </c>
      <c r="V17" t="s">
        <v>160</v>
      </c>
      <c r="W17" t="s">
        <v>222</v>
      </c>
    </row>
    <row r="18" spans="1:23" x14ac:dyDescent="0.3">
      <c r="A18" t="s">
        <v>223</v>
      </c>
      <c r="B18" t="s">
        <v>224</v>
      </c>
      <c r="C18" t="s">
        <v>158</v>
      </c>
      <c r="D18" t="s">
        <v>225</v>
      </c>
      <c r="U18" t="str">
        <f t="shared" si="0"/>
        <v/>
      </c>
      <c r="V18" t="s">
        <v>160</v>
      </c>
      <c r="W18" t="s">
        <v>226</v>
      </c>
    </row>
    <row r="19" spans="1:23" x14ac:dyDescent="0.3">
      <c r="A19" t="s">
        <v>227</v>
      </c>
      <c r="B19" t="s">
        <v>228</v>
      </c>
      <c r="C19" t="s">
        <v>158</v>
      </c>
      <c r="D19" t="s">
        <v>229</v>
      </c>
      <c r="U19" t="str">
        <f t="shared" si="0"/>
        <v/>
      </c>
      <c r="V19" t="s">
        <v>160</v>
      </c>
      <c r="W19" t="s">
        <v>230</v>
      </c>
    </row>
    <row r="21" spans="1:23" x14ac:dyDescent="0.3">
      <c r="A21" s="2" t="s">
        <v>231</v>
      </c>
      <c r="B21" s="2"/>
      <c r="C21" s="2"/>
      <c r="D21" s="2"/>
      <c r="E21" s="2" t="e">
        <f ca="1">PROMEDIO(E2:E19)</f>
        <v>#NAME?</v>
      </c>
      <c r="F21" s="2" t="e">
        <f ca="1">PROMEDIO(F2:F19)</f>
        <v>#NAME?</v>
      </c>
      <c r="G21" s="2" t="e">
        <f ca="1">PROMEDIO(G2:G19)</f>
        <v>#NAME?</v>
      </c>
      <c r="H21" s="2" t="e">
        <f ca="1">PROMEDIO(H2:H19)</f>
        <v>#NAME?</v>
      </c>
      <c r="I21" s="2" t="e">
        <f ca="1">PROMEDIO(I2:I19)</f>
        <v>#NAME?</v>
      </c>
      <c r="J21" s="2"/>
      <c r="K21" s="2" t="e">
        <f ca="1">PROMEDIO(K2:K19)</f>
        <v>#NAME?</v>
      </c>
      <c r="L21" s="2"/>
      <c r="M21" s="2" t="e">
        <f t="shared" ref="M21:R21" ca="1" si="1">PROMEDIO(M2:M19)</f>
        <v>#NAME?</v>
      </c>
      <c r="N21" s="2" t="e">
        <f t="shared" ca="1" si="1"/>
        <v>#NAME?</v>
      </c>
      <c r="O21" s="2" t="e">
        <f t="shared" ca="1" si="1"/>
        <v>#NAME?</v>
      </c>
      <c r="P21" s="2" t="e">
        <f t="shared" ca="1" si="1"/>
        <v>#NAME?</v>
      </c>
      <c r="Q21" s="2" t="e">
        <f t="shared" ca="1" si="1"/>
        <v>#NAME?</v>
      </c>
      <c r="R21" s="2" t="e">
        <f t="shared" ca="1" si="1"/>
        <v>#NAME?</v>
      </c>
      <c r="S21" s="2"/>
      <c r="T21" s="2"/>
      <c r="U21" s="2" t="e">
        <f ca="1">PROMEDIO(U2:U19)</f>
        <v>#NAME?</v>
      </c>
      <c r="V21" s="2"/>
      <c r="W2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workbookViewId="0"/>
  </sheetViews>
  <sheetFormatPr baseColWidth="10" defaultColWidth="8.88671875" defaultRowHeight="14.4" x14ac:dyDescent="0.3"/>
  <cols>
    <col min="1" max="1" width="20" customWidth="1"/>
    <col min="2" max="2" width="50" customWidth="1"/>
    <col min="3" max="3" width="20" customWidth="1"/>
    <col min="4" max="6" width="15" customWidth="1"/>
  </cols>
  <sheetData>
    <row r="1" spans="1:6" ht="18" x14ac:dyDescent="0.35">
      <c r="A1" s="23" t="s">
        <v>232</v>
      </c>
      <c r="B1" s="22"/>
      <c r="C1" s="22"/>
      <c r="D1" s="22"/>
      <c r="E1" s="22"/>
      <c r="F1" s="22"/>
    </row>
    <row r="3" spans="1:6" ht="15.6" x14ac:dyDescent="0.3">
      <c r="A3" s="21" t="s">
        <v>233</v>
      </c>
      <c r="B3" s="22"/>
      <c r="C3" s="22"/>
      <c r="D3" s="22"/>
      <c r="E3" s="22"/>
      <c r="F3" s="22"/>
    </row>
    <row r="5" spans="1:6" x14ac:dyDescent="0.3">
      <c r="A5" s="3" t="s">
        <v>234</v>
      </c>
    </row>
    <row r="6" spans="1:6" x14ac:dyDescent="0.3">
      <c r="A6" t="s">
        <v>235</v>
      </c>
      <c r="B6" t="s">
        <v>236</v>
      </c>
    </row>
    <row r="7" spans="1:6" x14ac:dyDescent="0.3">
      <c r="A7" t="s">
        <v>237</v>
      </c>
      <c r="B7" t="s">
        <v>238</v>
      </c>
    </row>
    <row r="8" spans="1:6" x14ac:dyDescent="0.3">
      <c r="A8" t="s">
        <v>239</v>
      </c>
      <c r="B8" t="s">
        <v>199</v>
      </c>
    </row>
    <row r="9" spans="1:6" x14ac:dyDescent="0.3">
      <c r="A9" t="s">
        <v>240</v>
      </c>
      <c r="B9" t="s">
        <v>241</v>
      </c>
    </row>
    <row r="10" spans="1:6" x14ac:dyDescent="0.3">
      <c r="A10" t="s">
        <v>242</v>
      </c>
      <c r="B10" t="s">
        <v>243</v>
      </c>
    </row>
    <row r="11" spans="1:6" x14ac:dyDescent="0.3">
      <c r="A11" t="s">
        <v>244</v>
      </c>
      <c r="B11" t="s">
        <v>245</v>
      </c>
    </row>
    <row r="12" spans="1:6" x14ac:dyDescent="0.3">
      <c r="A12" t="s">
        <v>246</v>
      </c>
      <c r="B12" t="s">
        <v>203</v>
      </c>
    </row>
    <row r="14" spans="1:6" x14ac:dyDescent="0.3">
      <c r="A14" s="4" t="s">
        <v>247</v>
      </c>
    </row>
    <row r="15" spans="1:6" x14ac:dyDescent="0.3">
      <c r="A15" t="s">
        <v>248</v>
      </c>
      <c r="B15" t="s">
        <v>249</v>
      </c>
    </row>
    <row r="16" spans="1:6" x14ac:dyDescent="0.3">
      <c r="A16" t="s">
        <v>250</v>
      </c>
      <c r="B16" t="s">
        <v>251</v>
      </c>
    </row>
    <row r="17" spans="1:6" x14ac:dyDescent="0.3">
      <c r="A17" t="s">
        <v>252</v>
      </c>
      <c r="B17" t="s">
        <v>253</v>
      </c>
    </row>
    <row r="19" spans="1:6" x14ac:dyDescent="0.3">
      <c r="A19" s="5" t="s">
        <v>254</v>
      </c>
    </row>
    <row r="20" spans="1:6" x14ac:dyDescent="0.3">
      <c r="A20" t="s">
        <v>255</v>
      </c>
      <c r="B20" t="s">
        <v>256</v>
      </c>
    </row>
    <row r="21" spans="1:6" x14ac:dyDescent="0.3">
      <c r="A21" t="s">
        <v>257</v>
      </c>
      <c r="B21" t="s">
        <v>258</v>
      </c>
    </row>
    <row r="22" spans="1:6" x14ac:dyDescent="0.3">
      <c r="A22" t="s">
        <v>259</v>
      </c>
      <c r="B22" t="s">
        <v>260</v>
      </c>
    </row>
    <row r="23" spans="1:6" x14ac:dyDescent="0.3">
      <c r="A23" t="s">
        <v>261</v>
      </c>
      <c r="B23" t="s">
        <v>262</v>
      </c>
    </row>
    <row r="25" spans="1:6" ht="15.6" x14ac:dyDescent="0.3">
      <c r="A25" s="21" t="s">
        <v>263</v>
      </c>
      <c r="B25" s="22"/>
      <c r="C25" s="22"/>
      <c r="D25" s="22"/>
      <c r="E25" s="22"/>
      <c r="F25" s="22"/>
    </row>
    <row r="27" spans="1:6" x14ac:dyDescent="0.3">
      <c r="A27" s="6" t="s">
        <v>264</v>
      </c>
      <c r="B27" s="6" t="s">
        <v>265</v>
      </c>
      <c r="C27" s="6" t="s">
        <v>266</v>
      </c>
      <c r="D27" s="6" t="s">
        <v>267</v>
      </c>
      <c r="E27" s="6" t="s">
        <v>268</v>
      </c>
      <c r="F27" s="6" t="s">
        <v>269</v>
      </c>
    </row>
    <row r="28" spans="1:6" x14ac:dyDescent="0.3">
      <c r="A28" t="s">
        <v>270</v>
      </c>
      <c r="B28" t="e">
        <f ca="1">HALO_ESG_Index!G21</f>
        <v>#NAME?</v>
      </c>
      <c r="C28" t="s">
        <v>271</v>
      </c>
      <c r="D28" t="e">
        <f t="shared" ref="D28:D33" ca="1" si="0">B28-C28</f>
        <v>#NAME?</v>
      </c>
      <c r="E28" t="s">
        <v>271</v>
      </c>
      <c r="F28" t="e">
        <f t="shared" ref="F28:F33" ca="1" si="1">B28-E28</f>
        <v>#NAME?</v>
      </c>
    </row>
    <row r="29" spans="1:6" x14ac:dyDescent="0.3">
      <c r="A29" t="s">
        <v>272</v>
      </c>
      <c r="B29" t="e">
        <f ca="1">HALO_ESG_Index!H21</f>
        <v>#NAME?</v>
      </c>
      <c r="C29" t="s">
        <v>271</v>
      </c>
      <c r="D29" t="e">
        <f t="shared" ca="1" si="0"/>
        <v>#NAME?</v>
      </c>
      <c r="E29" t="s">
        <v>271</v>
      </c>
      <c r="F29" t="e">
        <f t="shared" ca="1" si="1"/>
        <v>#NAME?</v>
      </c>
    </row>
    <row r="30" spans="1:6" x14ac:dyDescent="0.3">
      <c r="A30" t="s">
        <v>273</v>
      </c>
      <c r="B30" t="e">
        <f ca="1">HALO_ESG_Index!I21</f>
        <v>#NAME?</v>
      </c>
      <c r="C30" t="s">
        <v>271</v>
      </c>
      <c r="D30" t="e">
        <f t="shared" ca="1" si="0"/>
        <v>#NAME?</v>
      </c>
      <c r="E30" t="s">
        <v>271</v>
      </c>
      <c r="F30" t="e">
        <f t="shared" ca="1" si="1"/>
        <v>#NAME?</v>
      </c>
    </row>
    <row r="31" spans="1:6" x14ac:dyDescent="0.3">
      <c r="A31" t="s">
        <v>274</v>
      </c>
      <c r="B31" t="e">
        <f ca="1">HALO_ESG_Index!N21</f>
        <v>#NAME?</v>
      </c>
      <c r="C31" t="s">
        <v>271</v>
      </c>
      <c r="D31" t="e">
        <f t="shared" ca="1" si="0"/>
        <v>#NAME?</v>
      </c>
      <c r="E31" t="s">
        <v>271</v>
      </c>
      <c r="F31" t="e">
        <f t="shared" ca="1" si="1"/>
        <v>#NAME?</v>
      </c>
    </row>
    <row r="32" spans="1:6" x14ac:dyDescent="0.3">
      <c r="A32" t="s">
        <v>275</v>
      </c>
      <c r="B32" t="e">
        <f ca="1">HALO_ESG_Index!Q21</f>
        <v>#NAME?</v>
      </c>
      <c r="C32" t="s">
        <v>271</v>
      </c>
      <c r="D32" t="e">
        <f t="shared" ca="1" si="0"/>
        <v>#NAME?</v>
      </c>
      <c r="E32" t="s">
        <v>271</v>
      </c>
      <c r="F32" t="e">
        <f t="shared" ca="1" si="1"/>
        <v>#NAME?</v>
      </c>
    </row>
    <row r="33" spans="1:6" x14ac:dyDescent="0.3">
      <c r="A33" t="s">
        <v>276</v>
      </c>
      <c r="B33" t="e">
        <f ca="1">HALO_ESG_Index!R21</f>
        <v>#NAME?</v>
      </c>
      <c r="C33" t="s">
        <v>271</v>
      </c>
      <c r="D33" t="e">
        <f t="shared" ca="1" si="0"/>
        <v>#NAME?</v>
      </c>
      <c r="E33" t="s">
        <v>271</v>
      </c>
      <c r="F33" t="e">
        <f t="shared" ca="1" si="1"/>
        <v>#NAME?</v>
      </c>
    </row>
    <row r="36" spans="1:6" ht="15.6" x14ac:dyDescent="0.3">
      <c r="A36" s="21" t="s">
        <v>277</v>
      </c>
      <c r="B36" s="22"/>
      <c r="C36" s="22"/>
      <c r="D36" s="22"/>
      <c r="E36" s="22"/>
      <c r="F36" s="22"/>
    </row>
    <row r="38" spans="1:6" x14ac:dyDescent="0.3">
      <c r="A38" s="7" t="s">
        <v>278</v>
      </c>
    </row>
    <row r="39" spans="1:6" x14ac:dyDescent="0.3">
      <c r="A39" t="s">
        <v>279</v>
      </c>
      <c r="B39" t="s">
        <v>280</v>
      </c>
    </row>
    <row r="40" spans="1:6" x14ac:dyDescent="0.3">
      <c r="A40" t="s">
        <v>279</v>
      </c>
      <c r="B40" t="s">
        <v>281</v>
      </c>
    </row>
    <row r="41" spans="1:6" x14ac:dyDescent="0.3">
      <c r="A41" t="s">
        <v>279</v>
      </c>
      <c r="B41" t="s">
        <v>282</v>
      </c>
    </row>
    <row r="42" spans="1:6" x14ac:dyDescent="0.3">
      <c r="A42" t="s">
        <v>279</v>
      </c>
      <c r="B42" t="s">
        <v>283</v>
      </c>
    </row>
    <row r="43" spans="1:6" x14ac:dyDescent="0.3">
      <c r="A43" t="s">
        <v>279</v>
      </c>
      <c r="B43" t="s">
        <v>284</v>
      </c>
    </row>
    <row r="44" spans="1:6" x14ac:dyDescent="0.3">
      <c r="A44" t="s">
        <v>279</v>
      </c>
      <c r="B44" t="s">
        <v>285</v>
      </c>
    </row>
    <row r="46" spans="1:6" x14ac:dyDescent="0.3">
      <c r="A46" s="5" t="s">
        <v>286</v>
      </c>
    </row>
    <row r="47" spans="1:6" x14ac:dyDescent="0.3">
      <c r="A47" t="s">
        <v>287</v>
      </c>
      <c r="B47" t="s">
        <v>288</v>
      </c>
      <c r="C47" t="s">
        <v>109</v>
      </c>
    </row>
    <row r="48" spans="1:6" x14ac:dyDescent="0.3">
      <c r="A48" t="s">
        <v>173</v>
      </c>
      <c r="B48" t="s">
        <v>289</v>
      </c>
      <c r="C48" t="s">
        <v>290</v>
      </c>
    </row>
    <row r="49" spans="1:3" x14ac:dyDescent="0.3">
      <c r="A49" t="s">
        <v>291</v>
      </c>
      <c r="B49" t="s">
        <v>292</v>
      </c>
      <c r="C49" t="s">
        <v>293</v>
      </c>
    </row>
    <row r="50" spans="1:3" x14ac:dyDescent="0.3">
      <c r="A50" t="s">
        <v>156</v>
      </c>
      <c r="B50" t="s">
        <v>294</v>
      </c>
      <c r="C50" t="s">
        <v>295</v>
      </c>
    </row>
    <row r="51" spans="1:3" x14ac:dyDescent="0.3">
      <c r="A51" t="s">
        <v>296</v>
      </c>
      <c r="B51" t="s">
        <v>297</v>
      </c>
      <c r="C51" t="s">
        <v>298</v>
      </c>
    </row>
    <row r="52" spans="1:3" x14ac:dyDescent="0.3">
      <c r="A52" t="s">
        <v>199</v>
      </c>
      <c r="B52" t="s">
        <v>299</v>
      </c>
      <c r="C52" t="s">
        <v>300</v>
      </c>
    </row>
  </sheetData>
  <mergeCells count="4">
    <mergeCell ref="A3:F3"/>
    <mergeCell ref="A1:F1"/>
    <mergeCell ref="A25:F25"/>
    <mergeCell ref="A36:F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/>
  </sheetViews>
  <sheetFormatPr baseColWidth="10" defaultColWidth="8.88671875" defaultRowHeight="14.4" x14ac:dyDescent="0.3"/>
  <cols>
    <col min="1" max="1" width="12" customWidth="1"/>
    <col min="2" max="2" width="28" customWidth="1"/>
    <col min="3" max="3" width="22" customWidth="1"/>
    <col min="4" max="4" width="15" customWidth="1"/>
    <col min="5" max="5" width="45" customWidth="1"/>
    <col min="6" max="7" width="15" customWidth="1"/>
  </cols>
  <sheetData>
    <row r="1" spans="1:7" x14ac:dyDescent="0.3">
      <c r="A1" s="8" t="s">
        <v>133</v>
      </c>
      <c r="B1" s="8" t="s">
        <v>287</v>
      </c>
      <c r="C1" s="8" t="s">
        <v>136</v>
      </c>
      <c r="D1" s="8" t="s">
        <v>154</v>
      </c>
      <c r="E1" s="8" t="s">
        <v>301</v>
      </c>
      <c r="F1" s="8" t="s">
        <v>139</v>
      </c>
      <c r="G1" s="8" t="s">
        <v>140</v>
      </c>
    </row>
    <row r="2" spans="1:7" x14ac:dyDescent="0.3">
      <c r="A2" t="s">
        <v>156</v>
      </c>
      <c r="B2" t="s">
        <v>157</v>
      </c>
      <c r="C2" t="s">
        <v>159</v>
      </c>
      <c r="D2" t="s">
        <v>302</v>
      </c>
      <c r="E2" t="s">
        <v>303</v>
      </c>
    </row>
    <row r="3" spans="1:7" x14ac:dyDescent="0.3">
      <c r="A3" t="s">
        <v>162</v>
      </c>
      <c r="B3" t="s">
        <v>163</v>
      </c>
      <c r="C3" t="s">
        <v>164</v>
      </c>
      <c r="D3" t="s">
        <v>302</v>
      </c>
      <c r="E3" t="s">
        <v>304</v>
      </c>
    </row>
    <row r="4" spans="1:7" x14ac:dyDescent="0.3">
      <c r="A4" t="s">
        <v>166</v>
      </c>
      <c r="B4" t="s">
        <v>167</v>
      </c>
      <c r="C4" t="s">
        <v>168</v>
      </c>
      <c r="D4" t="s">
        <v>302</v>
      </c>
      <c r="E4" t="s">
        <v>305</v>
      </c>
    </row>
    <row r="5" spans="1:7" x14ac:dyDescent="0.3">
      <c r="A5" t="s">
        <v>170</v>
      </c>
      <c r="B5" t="s">
        <v>171</v>
      </c>
      <c r="C5" t="s">
        <v>168</v>
      </c>
      <c r="D5" t="s">
        <v>302</v>
      </c>
      <c r="E5" t="s">
        <v>306</v>
      </c>
    </row>
    <row r="6" spans="1:7" x14ac:dyDescent="0.3">
      <c r="A6" t="s">
        <v>173</v>
      </c>
      <c r="B6" t="s">
        <v>174</v>
      </c>
      <c r="C6" t="s">
        <v>159</v>
      </c>
      <c r="D6" t="s">
        <v>302</v>
      </c>
      <c r="E6" t="s">
        <v>307</v>
      </c>
    </row>
    <row r="7" spans="1:7" x14ac:dyDescent="0.3">
      <c r="A7" t="s">
        <v>177</v>
      </c>
      <c r="B7" t="s">
        <v>178</v>
      </c>
      <c r="C7" t="s">
        <v>180</v>
      </c>
      <c r="D7" t="s">
        <v>302</v>
      </c>
      <c r="E7" t="s">
        <v>308</v>
      </c>
    </row>
    <row r="8" spans="1:7" x14ac:dyDescent="0.3">
      <c r="A8" t="s">
        <v>182</v>
      </c>
      <c r="B8" t="s">
        <v>183</v>
      </c>
      <c r="C8" t="s">
        <v>185</v>
      </c>
      <c r="D8" t="s">
        <v>302</v>
      </c>
      <c r="E8" t="s">
        <v>309</v>
      </c>
    </row>
    <row r="9" spans="1:7" x14ac:dyDescent="0.3">
      <c r="A9" t="s">
        <v>187</v>
      </c>
      <c r="B9" t="s">
        <v>188</v>
      </c>
      <c r="C9" t="s">
        <v>189</v>
      </c>
      <c r="D9" t="s">
        <v>302</v>
      </c>
      <c r="E9" t="s">
        <v>310</v>
      </c>
    </row>
    <row r="10" spans="1:7" x14ac:dyDescent="0.3">
      <c r="A10" t="s">
        <v>191</v>
      </c>
      <c r="B10" t="s">
        <v>192</v>
      </c>
      <c r="C10" t="s">
        <v>193</v>
      </c>
      <c r="D10" t="s">
        <v>302</v>
      </c>
      <c r="E10" t="s">
        <v>311</v>
      </c>
    </row>
    <row r="11" spans="1:7" x14ac:dyDescent="0.3">
      <c r="A11" t="s">
        <v>195</v>
      </c>
      <c r="B11" t="s">
        <v>196</v>
      </c>
      <c r="C11" t="s">
        <v>197</v>
      </c>
      <c r="D11" t="s">
        <v>302</v>
      </c>
      <c r="E11" t="s">
        <v>312</v>
      </c>
    </row>
    <row r="12" spans="1:7" x14ac:dyDescent="0.3">
      <c r="A12" t="s">
        <v>199</v>
      </c>
      <c r="B12" t="s">
        <v>200</v>
      </c>
      <c r="C12" t="s">
        <v>201</v>
      </c>
      <c r="D12" t="s">
        <v>302</v>
      </c>
      <c r="E12" t="s">
        <v>313</v>
      </c>
    </row>
    <row r="13" spans="1:7" x14ac:dyDescent="0.3">
      <c r="A13" t="s">
        <v>203</v>
      </c>
      <c r="B13" t="s">
        <v>204</v>
      </c>
      <c r="C13" t="s">
        <v>205</v>
      </c>
      <c r="D13" t="s">
        <v>302</v>
      </c>
      <c r="E13" t="s">
        <v>314</v>
      </c>
    </row>
    <row r="14" spans="1:7" x14ac:dyDescent="0.3">
      <c r="A14" t="s">
        <v>207</v>
      </c>
      <c r="B14" t="s">
        <v>208</v>
      </c>
      <c r="C14" t="s">
        <v>209</v>
      </c>
      <c r="D14" t="s">
        <v>302</v>
      </c>
      <c r="E14" t="s">
        <v>315</v>
      </c>
    </row>
    <row r="15" spans="1:7" x14ac:dyDescent="0.3">
      <c r="A15" t="s">
        <v>211</v>
      </c>
      <c r="B15" t="s">
        <v>212</v>
      </c>
      <c r="C15" t="s">
        <v>209</v>
      </c>
      <c r="D15" t="s">
        <v>302</v>
      </c>
      <c r="E15" t="s">
        <v>316</v>
      </c>
    </row>
    <row r="16" spans="1:7" x14ac:dyDescent="0.3">
      <c r="A16" t="s">
        <v>215</v>
      </c>
      <c r="B16" t="s">
        <v>216</v>
      </c>
      <c r="C16" t="s">
        <v>217</v>
      </c>
      <c r="D16" t="s">
        <v>302</v>
      </c>
      <c r="E16" t="s">
        <v>317</v>
      </c>
    </row>
    <row r="17" spans="1:7" x14ac:dyDescent="0.3">
      <c r="A17" t="s">
        <v>219</v>
      </c>
      <c r="B17" t="s">
        <v>220</v>
      </c>
      <c r="C17" t="s">
        <v>221</v>
      </c>
      <c r="D17" t="s">
        <v>302</v>
      </c>
      <c r="E17" t="s">
        <v>318</v>
      </c>
    </row>
    <row r="18" spans="1:7" x14ac:dyDescent="0.3">
      <c r="A18" t="s">
        <v>223</v>
      </c>
      <c r="B18" t="s">
        <v>224</v>
      </c>
      <c r="C18" t="s">
        <v>225</v>
      </c>
      <c r="D18" t="s">
        <v>302</v>
      </c>
      <c r="E18" t="s">
        <v>319</v>
      </c>
    </row>
    <row r="19" spans="1:7" x14ac:dyDescent="0.3">
      <c r="A19" t="s">
        <v>227</v>
      </c>
      <c r="B19" t="s">
        <v>228</v>
      </c>
      <c r="C19" t="s">
        <v>229</v>
      </c>
      <c r="D19" t="s">
        <v>302</v>
      </c>
      <c r="E19" t="s">
        <v>320</v>
      </c>
    </row>
    <row r="20" spans="1:7" x14ac:dyDescent="0.3">
      <c r="A20" t="s">
        <v>321</v>
      </c>
      <c r="B20" t="s">
        <v>322</v>
      </c>
      <c r="C20" t="s">
        <v>323</v>
      </c>
      <c r="D20" t="s">
        <v>324</v>
      </c>
      <c r="E20" t="s">
        <v>325</v>
      </c>
    </row>
    <row r="21" spans="1:7" x14ac:dyDescent="0.3">
      <c r="A21" t="s">
        <v>326</v>
      </c>
      <c r="B21" t="s">
        <v>327</v>
      </c>
      <c r="C21" t="s">
        <v>323</v>
      </c>
      <c r="D21" t="s">
        <v>324</v>
      </c>
      <c r="E21" t="s">
        <v>328</v>
      </c>
    </row>
    <row r="22" spans="1:7" x14ac:dyDescent="0.3">
      <c r="A22" t="s">
        <v>329</v>
      </c>
      <c r="B22" t="s">
        <v>330</v>
      </c>
      <c r="C22" t="s">
        <v>331</v>
      </c>
      <c r="D22" t="s">
        <v>324</v>
      </c>
      <c r="E22" t="s">
        <v>332</v>
      </c>
    </row>
    <row r="23" spans="1:7" x14ac:dyDescent="0.3">
      <c r="A23" t="s">
        <v>333</v>
      </c>
      <c r="B23" t="s">
        <v>334</v>
      </c>
      <c r="C23" t="s">
        <v>209</v>
      </c>
      <c r="D23" t="s">
        <v>324</v>
      </c>
      <c r="E23" t="s">
        <v>335</v>
      </c>
    </row>
    <row r="24" spans="1:7" x14ac:dyDescent="0.3">
      <c r="A24" t="s">
        <v>336</v>
      </c>
      <c r="B24" t="s">
        <v>337</v>
      </c>
      <c r="C24" t="s">
        <v>338</v>
      </c>
      <c r="D24" t="s">
        <v>339</v>
      </c>
      <c r="E24" t="s">
        <v>340</v>
      </c>
    </row>
    <row r="25" spans="1:7" x14ac:dyDescent="0.3">
      <c r="A25" t="s">
        <v>341</v>
      </c>
      <c r="B25" t="s">
        <v>342</v>
      </c>
      <c r="C25" t="s">
        <v>338</v>
      </c>
      <c r="D25" t="s">
        <v>339</v>
      </c>
      <c r="E25" t="s">
        <v>343</v>
      </c>
    </row>
    <row r="26" spans="1:7" x14ac:dyDescent="0.3">
      <c r="A26" t="s">
        <v>344</v>
      </c>
      <c r="B26" t="s">
        <v>345</v>
      </c>
      <c r="C26" t="s">
        <v>346</v>
      </c>
      <c r="D26" t="s">
        <v>339</v>
      </c>
      <c r="E26" t="s">
        <v>347</v>
      </c>
    </row>
    <row r="27" spans="1:7" x14ac:dyDescent="0.3">
      <c r="A27" t="s">
        <v>348</v>
      </c>
      <c r="B27" t="s">
        <v>349</v>
      </c>
      <c r="C27" t="s">
        <v>346</v>
      </c>
      <c r="D27" t="s">
        <v>339</v>
      </c>
      <c r="E27" t="s">
        <v>350</v>
      </c>
    </row>
    <row r="28" spans="1:7" x14ac:dyDescent="0.3">
      <c r="A28" t="s">
        <v>351</v>
      </c>
      <c r="B28" t="s">
        <v>352</v>
      </c>
      <c r="C28" t="s">
        <v>353</v>
      </c>
      <c r="D28" t="s">
        <v>339</v>
      </c>
      <c r="E28" t="s">
        <v>354</v>
      </c>
    </row>
    <row r="29" spans="1:7" x14ac:dyDescent="0.3">
      <c r="A29" t="s">
        <v>355</v>
      </c>
      <c r="B29" t="s">
        <v>356</v>
      </c>
      <c r="C29" t="s">
        <v>357</v>
      </c>
      <c r="D29" t="s">
        <v>339</v>
      </c>
      <c r="E29" t="s">
        <v>358</v>
      </c>
    </row>
    <row r="31" spans="1:7" x14ac:dyDescent="0.3">
      <c r="A31" s="2" t="s">
        <v>359</v>
      </c>
      <c r="B31" s="2"/>
      <c r="C31" s="2"/>
      <c r="D31" s="2"/>
      <c r="E31" s="2"/>
      <c r="F31" s="2" t="e">
        <f ca="1">PROMEDIO(F2:F19)</f>
        <v>#NAME?</v>
      </c>
      <c r="G31" s="2" t="e">
        <f ca="1">PROMEDIO(G2:G19)</f>
        <v>#NAME?</v>
      </c>
    </row>
    <row r="32" spans="1:7" x14ac:dyDescent="0.3">
      <c r="A32" s="2" t="s">
        <v>360</v>
      </c>
      <c r="B32" s="2"/>
      <c r="C32" s="2"/>
      <c r="D32" s="2"/>
      <c r="E32" s="2"/>
      <c r="F32" s="2" t="e">
        <f ca="1">PROMEDIO(F20:F23)</f>
        <v>#NAME?</v>
      </c>
      <c r="G32" s="2" t="e">
        <f ca="1">PROMEDIO(G20:G23)</f>
        <v>#NAME?</v>
      </c>
    </row>
    <row r="33" spans="1:7" x14ac:dyDescent="0.3">
      <c r="A33" s="2" t="s">
        <v>361</v>
      </c>
      <c r="B33" s="2"/>
      <c r="C33" s="2"/>
      <c r="D33" s="2"/>
      <c r="E33" s="2"/>
      <c r="F33" s="2" t="e">
        <f ca="1">PROMEDIO(F24:F29)</f>
        <v>#NAME?</v>
      </c>
      <c r="G33" s="2" t="e">
        <f ca="1">PROMEDIO(G24:G29)</f>
        <v>#NAME?</v>
      </c>
    </row>
    <row r="34" spans="1:7" x14ac:dyDescent="0.3">
      <c r="A34" s="2" t="s">
        <v>362</v>
      </c>
      <c r="B34" s="2"/>
      <c r="C34" s="2"/>
      <c r="D34" s="2"/>
      <c r="E34" s="2"/>
      <c r="F34" s="2" t="e">
        <f ca="1">PROMEDIO(F2:F29)</f>
        <v>#NAME?</v>
      </c>
      <c r="G34" s="2" t="e">
        <f ca="1">PROMEDIO(G2:G29)</f>
        <v>#NAME?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/>
  </sheetViews>
  <sheetFormatPr baseColWidth="10" defaultColWidth="8.88671875" defaultRowHeight="14.4" x14ac:dyDescent="0.3"/>
  <cols>
    <col min="1" max="1" width="25" customWidth="1"/>
    <col min="2" max="2" width="50" customWidth="1"/>
    <col min="3" max="3" width="40" customWidth="1"/>
    <col min="4" max="4" width="20" customWidth="1"/>
  </cols>
  <sheetData>
    <row r="1" spans="1:4" ht="18" x14ac:dyDescent="0.35">
      <c r="A1" s="23" t="s">
        <v>363</v>
      </c>
      <c r="B1" s="22"/>
      <c r="C1" s="22"/>
      <c r="D1" s="22"/>
    </row>
    <row r="3" spans="1:4" x14ac:dyDescent="0.3">
      <c r="A3" t="s">
        <v>133</v>
      </c>
      <c r="B3" t="s">
        <v>364</v>
      </c>
      <c r="C3" t="s">
        <v>365</v>
      </c>
      <c r="D3" t="s">
        <v>366</v>
      </c>
    </row>
    <row r="4" spans="1:4" x14ac:dyDescent="0.3">
      <c r="A4" t="s">
        <v>156</v>
      </c>
      <c r="B4" t="s">
        <v>367</v>
      </c>
      <c r="C4" t="s">
        <v>368</v>
      </c>
      <c r="D4" t="s">
        <v>369</v>
      </c>
    </row>
    <row r="5" spans="1:4" x14ac:dyDescent="0.3">
      <c r="A5" t="s">
        <v>162</v>
      </c>
      <c r="B5" t="s">
        <v>370</v>
      </c>
      <c r="C5" t="s">
        <v>371</v>
      </c>
      <c r="D5" t="s">
        <v>372</v>
      </c>
    </row>
    <row r="6" spans="1:4" x14ac:dyDescent="0.3">
      <c r="A6" t="s">
        <v>173</v>
      </c>
      <c r="B6" t="s">
        <v>373</v>
      </c>
      <c r="C6" t="s">
        <v>374</v>
      </c>
      <c r="D6" t="s">
        <v>375</v>
      </c>
    </row>
    <row r="7" spans="1:4" x14ac:dyDescent="0.3">
      <c r="A7" t="s">
        <v>187</v>
      </c>
      <c r="B7" t="s">
        <v>376</v>
      </c>
      <c r="C7" t="s">
        <v>377</v>
      </c>
      <c r="D7" t="s">
        <v>378</v>
      </c>
    </row>
    <row r="8" spans="1:4" x14ac:dyDescent="0.3">
      <c r="A8" t="s">
        <v>191</v>
      </c>
      <c r="B8" t="s">
        <v>379</v>
      </c>
      <c r="C8" t="s">
        <v>380</v>
      </c>
      <c r="D8" t="s">
        <v>381</v>
      </c>
    </row>
    <row r="9" spans="1:4" x14ac:dyDescent="0.3">
      <c r="A9" t="s">
        <v>195</v>
      </c>
      <c r="B9" t="s">
        <v>382</v>
      </c>
      <c r="C9" t="s">
        <v>383</v>
      </c>
      <c r="D9" t="s">
        <v>384</v>
      </c>
    </row>
    <row r="10" spans="1:4" x14ac:dyDescent="0.3">
      <c r="A10" t="s">
        <v>199</v>
      </c>
      <c r="B10" t="s">
        <v>385</v>
      </c>
      <c r="C10" t="s">
        <v>300</v>
      </c>
      <c r="D10" t="s">
        <v>386</v>
      </c>
    </row>
    <row r="11" spans="1:4" x14ac:dyDescent="0.3">
      <c r="A11" t="s">
        <v>387</v>
      </c>
      <c r="B11" t="s">
        <v>388</v>
      </c>
      <c r="C11" t="s">
        <v>389</v>
      </c>
      <c r="D11" t="s">
        <v>390</v>
      </c>
    </row>
    <row r="12" spans="1:4" ht="15.6" x14ac:dyDescent="0.3">
      <c r="A12" s="24"/>
      <c r="B12" s="22"/>
      <c r="C12" s="22"/>
      <c r="D12" s="22"/>
    </row>
    <row r="13" spans="1:4" x14ac:dyDescent="0.3">
      <c r="A13" t="s">
        <v>391</v>
      </c>
    </row>
    <row r="15" spans="1:4" x14ac:dyDescent="0.3">
      <c r="A15" t="s">
        <v>392</v>
      </c>
      <c r="B15" t="s">
        <v>110</v>
      </c>
      <c r="C15" t="s">
        <v>393</v>
      </c>
      <c r="D15" t="s">
        <v>394</v>
      </c>
    </row>
    <row r="16" spans="1:4" x14ac:dyDescent="0.3">
      <c r="A16" t="s">
        <v>395</v>
      </c>
      <c r="B16" t="s">
        <v>396</v>
      </c>
      <c r="C16" t="s">
        <v>397</v>
      </c>
      <c r="D16" t="s">
        <v>398</v>
      </c>
    </row>
    <row r="17" spans="1:4" x14ac:dyDescent="0.3">
      <c r="A17" t="s">
        <v>399</v>
      </c>
      <c r="B17" t="s">
        <v>400</v>
      </c>
      <c r="C17" t="s">
        <v>401</v>
      </c>
      <c r="D17" t="s">
        <v>402</v>
      </c>
    </row>
    <row r="18" spans="1:4" x14ac:dyDescent="0.3">
      <c r="A18" t="s">
        <v>403</v>
      </c>
      <c r="B18" t="s">
        <v>404</v>
      </c>
      <c r="C18" t="s">
        <v>405</v>
      </c>
      <c r="D18" t="s">
        <v>406</v>
      </c>
    </row>
    <row r="19" spans="1:4" x14ac:dyDescent="0.3">
      <c r="A19" t="s">
        <v>407</v>
      </c>
      <c r="B19" t="s">
        <v>408</v>
      </c>
      <c r="C19" t="s">
        <v>409</v>
      </c>
      <c r="D19" t="s">
        <v>410</v>
      </c>
    </row>
    <row r="20" spans="1:4" ht="15.6" x14ac:dyDescent="0.3">
      <c r="A20" s="21" t="s">
        <v>411</v>
      </c>
      <c r="B20" s="22"/>
      <c r="C20" s="22"/>
      <c r="D20" s="22"/>
    </row>
    <row r="22" spans="1:4" x14ac:dyDescent="0.3">
      <c r="A22" t="s">
        <v>412</v>
      </c>
    </row>
    <row r="24" spans="1:4" x14ac:dyDescent="0.3">
      <c r="A24" t="s">
        <v>394</v>
      </c>
      <c r="B24" t="s">
        <v>31</v>
      </c>
      <c r="C24" t="s">
        <v>109</v>
      </c>
      <c r="D24" t="s">
        <v>413</v>
      </c>
    </row>
    <row r="25" spans="1:4" x14ac:dyDescent="0.3">
      <c r="A25" t="s">
        <v>414</v>
      </c>
      <c r="B25" t="s">
        <v>415</v>
      </c>
      <c r="C25" t="s">
        <v>416</v>
      </c>
      <c r="D25" t="s">
        <v>417</v>
      </c>
    </row>
    <row r="26" spans="1:4" x14ac:dyDescent="0.3">
      <c r="A26" t="s">
        <v>410</v>
      </c>
      <c r="B26" t="s">
        <v>418</v>
      </c>
      <c r="C26" t="s">
        <v>419</v>
      </c>
      <c r="D26" t="s">
        <v>420</v>
      </c>
    </row>
    <row r="27" spans="1:4" x14ac:dyDescent="0.3">
      <c r="A27" t="s">
        <v>398</v>
      </c>
      <c r="B27" t="s">
        <v>421</v>
      </c>
      <c r="C27" t="s">
        <v>422</v>
      </c>
      <c r="D27" t="s">
        <v>423</v>
      </c>
    </row>
    <row r="28" spans="1:4" x14ac:dyDescent="0.3">
      <c r="A28" t="s">
        <v>424</v>
      </c>
      <c r="B28" t="s">
        <v>425</v>
      </c>
      <c r="C28" t="s">
        <v>426</v>
      </c>
      <c r="D28" t="s">
        <v>427</v>
      </c>
    </row>
    <row r="29" spans="1:4" x14ac:dyDescent="0.3">
      <c r="A29" t="s">
        <v>402</v>
      </c>
      <c r="B29" t="s">
        <v>428</v>
      </c>
      <c r="C29" t="s">
        <v>429</v>
      </c>
      <c r="D29" t="s">
        <v>430</v>
      </c>
    </row>
  </sheetData>
  <mergeCells count="3">
    <mergeCell ref="A1:D1"/>
    <mergeCell ref="A12:D12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📖 INSTRUCCIONES</vt:lpstr>
      <vt:lpstr>HALO_ESG_Index</vt:lpstr>
      <vt:lpstr>Clasificación_3_Pasos</vt:lpstr>
      <vt:lpstr>HALO_Completo_Comparativa</vt:lpstr>
      <vt:lpstr>Fuentes_ESG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González Palenzuela</cp:lastModifiedBy>
  <dcterms:created xsi:type="dcterms:W3CDTF">2026-03-04T12:13:57Z</dcterms:created>
  <dcterms:modified xsi:type="dcterms:W3CDTF">2026-03-04T12:31:14Z</dcterms:modified>
</cp:coreProperties>
</file>